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[HSG]\2024년도 교육\삼성전자 구미사업부 G.제조팀\Excel 활용 Big Data\교재-강의\sources\"/>
    </mc:Choice>
  </mc:AlternateContent>
  <xr:revisionPtr revIDLastSave="0" documentId="13_ncr:1_{88F802BE-43BF-4E5A-9CAD-215547FE5E4D}" xr6:coauthVersionLast="47" xr6:coauthVersionMax="47" xr10:uidLastSave="{00000000-0000-0000-0000-000000000000}"/>
  <bookViews>
    <workbookView xWindow="-110" yWindow="-110" windowWidth="25820" windowHeight="15500" xr2:uid="{5C78570F-192C-40D5-A7DF-98EE3341F6D9}"/>
  </bookViews>
  <sheets>
    <sheet name="KMEANS" sheetId="1" r:id="rId1"/>
  </sheets>
  <definedNames>
    <definedName name="solver_adj" localSheetId="0" hidden="1">KMEANS!#REF!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KMEANS!#REF!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T19" i="1"/>
  <c r="V19" i="1" s="1"/>
  <c r="R19" i="1"/>
  <c r="Q19" i="1"/>
  <c r="S19" i="1" s="1"/>
  <c r="W19" i="1" s="1"/>
  <c r="U18" i="1"/>
  <c r="T18" i="1"/>
  <c r="V18" i="1" s="1"/>
  <c r="R18" i="1"/>
  <c r="Q18" i="1"/>
  <c r="S18" i="1" s="1"/>
  <c r="W18" i="1" s="1"/>
  <c r="U17" i="1"/>
  <c r="T17" i="1"/>
  <c r="V17" i="1" s="1"/>
  <c r="R17" i="1"/>
  <c r="Q17" i="1"/>
  <c r="S17" i="1" s="1"/>
  <c r="W17" i="1" s="1"/>
  <c r="U16" i="1"/>
  <c r="V16" i="1" s="1"/>
  <c r="T16" i="1"/>
  <c r="R16" i="1"/>
  <c r="Q16" i="1"/>
  <c r="S16" i="1" s="1"/>
  <c r="W16" i="1" s="1"/>
  <c r="U15" i="1"/>
  <c r="T15" i="1"/>
  <c r="V15" i="1" s="1"/>
  <c r="R15" i="1"/>
  <c r="Q15" i="1"/>
  <c r="S15" i="1" s="1"/>
  <c r="W15" i="1" s="1"/>
  <c r="U14" i="1"/>
  <c r="T14" i="1"/>
  <c r="V14" i="1" s="1"/>
  <c r="R14" i="1"/>
  <c r="Q14" i="1"/>
  <c r="S14" i="1" s="1"/>
  <c r="U13" i="1"/>
  <c r="T13" i="1"/>
  <c r="V13" i="1" s="1"/>
  <c r="R13" i="1"/>
  <c r="Q13" i="1"/>
  <c r="S13" i="1" s="1"/>
  <c r="W13" i="1" s="1"/>
  <c r="U12" i="1"/>
  <c r="T12" i="1"/>
  <c r="V12" i="1" s="1"/>
  <c r="R12" i="1"/>
  <c r="Q12" i="1"/>
  <c r="S12" i="1" s="1"/>
  <c r="W12" i="1" s="1"/>
  <c r="U11" i="1"/>
  <c r="T11" i="1"/>
  <c r="V11" i="1" s="1"/>
  <c r="R11" i="1"/>
  <c r="Q11" i="1"/>
  <c r="S11" i="1" s="1"/>
  <c r="W11" i="1" s="1"/>
  <c r="U10" i="1"/>
  <c r="T10" i="1"/>
  <c r="V10" i="1" s="1"/>
  <c r="R10" i="1"/>
  <c r="Q10" i="1"/>
  <c r="S10" i="1" s="1"/>
  <c r="W10" i="1" s="1"/>
  <c r="U9" i="1"/>
  <c r="T9" i="1"/>
  <c r="V9" i="1" s="1"/>
  <c r="R9" i="1"/>
  <c r="Q9" i="1"/>
  <c r="S9" i="1" s="1"/>
  <c r="W9" i="1" s="1"/>
  <c r="U8" i="1"/>
  <c r="T8" i="1"/>
  <c r="V8" i="1" s="1"/>
  <c r="R8" i="1"/>
  <c r="Q8" i="1"/>
  <c r="S8" i="1" s="1"/>
  <c r="W8" i="1" s="1"/>
  <c r="U7" i="1"/>
  <c r="T7" i="1"/>
  <c r="V7" i="1" s="1"/>
  <c r="R7" i="1"/>
  <c r="Q7" i="1"/>
  <c r="S7" i="1" s="1"/>
  <c r="W7" i="1" s="1"/>
  <c r="U6" i="1"/>
  <c r="T6" i="1"/>
  <c r="V6" i="1" s="1"/>
  <c r="R6" i="1"/>
  <c r="Q6" i="1"/>
  <c r="S6" i="1" s="1"/>
  <c r="W6" i="1" s="1"/>
  <c r="U5" i="1"/>
  <c r="T5" i="1"/>
  <c r="V5" i="1" s="1"/>
  <c r="R5" i="1"/>
  <c r="Q5" i="1"/>
  <c r="S5" i="1" s="1"/>
  <c r="W5" i="1" s="1"/>
  <c r="U4" i="1"/>
  <c r="T4" i="1"/>
  <c r="V4" i="1" s="1"/>
  <c r="R4" i="1"/>
  <c r="Q4" i="1"/>
  <c r="S4" i="1" s="1"/>
  <c r="W4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4" i="1"/>
  <c r="G5" i="1"/>
  <c r="H5" i="1"/>
  <c r="I5" i="1"/>
  <c r="J5" i="1" s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 s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J4" i="1"/>
  <c r="I4" i="1"/>
  <c r="H4" i="1"/>
  <c r="G4" i="1"/>
  <c r="D5" i="1"/>
  <c r="F5" i="1" s="1"/>
  <c r="E5" i="1"/>
  <c r="D6" i="1"/>
  <c r="E6" i="1"/>
  <c r="F6" i="1"/>
  <c r="D7" i="1"/>
  <c r="E7" i="1"/>
  <c r="F7" i="1"/>
  <c r="D8" i="1"/>
  <c r="E8" i="1"/>
  <c r="F8" i="1"/>
  <c r="D9" i="1"/>
  <c r="E9" i="1"/>
  <c r="F9" i="1" s="1"/>
  <c r="D10" i="1"/>
  <c r="E10" i="1"/>
  <c r="F10" i="1"/>
  <c r="D11" i="1"/>
  <c r="F11" i="1" s="1"/>
  <c r="E11" i="1"/>
  <c r="D12" i="1"/>
  <c r="E12" i="1"/>
  <c r="F12" i="1" s="1"/>
  <c r="D13" i="1"/>
  <c r="E13" i="1"/>
  <c r="F13" i="1" s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F4" i="1"/>
  <c r="E4" i="1"/>
  <c r="D4" i="1"/>
  <c r="X12" i="1" l="1"/>
  <c r="Y12" i="1"/>
  <c r="Y13" i="1"/>
  <c r="X13" i="1"/>
  <c r="Y6" i="1"/>
  <c r="X6" i="1"/>
  <c r="Y7" i="1"/>
  <c r="X7" i="1"/>
  <c r="Y16" i="1"/>
  <c r="X16" i="1"/>
  <c r="Y9" i="1"/>
  <c r="X9" i="1"/>
  <c r="Y10" i="1"/>
  <c r="X10" i="1"/>
  <c r="Y11" i="1"/>
  <c r="X11" i="1"/>
  <c r="Y4" i="1"/>
  <c r="X4" i="1"/>
  <c r="Y5" i="1"/>
  <c r="X5" i="1"/>
  <c r="W14" i="1"/>
  <c r="Y15" i="1"/>
  <c r="X15" i="1"/>
  <c r="X8" i="1"/>
  <c r="Y8" i="1"/>
  <c r="X17" i="1"/>
  <c r="Y17" i="1"/>
  <c r="Y18" i="1"/>
  <c r="X18" i="1"/>
  <c r="Y19" i="1"/>
  <c r="X19" i="1"/>
  <c r="Y14" i="1" l="1"/>
  <c r="X14" i="1"/>
</calcChain>
</file>

<file path=xl/sharedStrings.xml><?xml version="1.0" encoding="utf-8"?>
<sst xmlns="http://schemas.openxmlformats.org/spreadsheetml/2006/main" count="16" uniqueCount="8">
  <si>
    <t>층</t>
    <phoneticPr fontId="1" type="noConversion"/>
  </si>
  <si>
    <t>년차</t>
    <phoneticPr fontId="1" type="noConversion"/>
  </si>
  <si>
    <t>B를 15와 10으로 가정</t>
    <phoneticPr fontId="1" type="noConversion"/>
  </si>
  <si>
    <t>A를 2, 20으로 가정</t>
    <phoneticPr fontId="1" type="noConversion"/>
  </si>
  <si>
    <t>거리</t>
    <phoneticPr fontId="1" type="noConversion"/>
  </si>
  <si>
    <t>A-B</t>
    <phoneticPr fontId="1" type="noConversion"/>
  </si>
  <si>
    <t>A년차</t>
    <phoneticPr fontId="1" type="noConversion"/>
  </si>
  <si>
    <t>B년차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</si>
</sst>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KMEANS!$K$4:$K$19</c:f>
              <c:numCache>
                <c:formatCode>General</c:formatCode>
                <c:ptCount val="16"/>
                <c:pt idx="0">
                  <c:v>19</c:v>
                </c:pt>
                <c:pt idx="1">
                  <c:v>#N/A</c:v>
                </c:pt>
                <c:pt idx="2">
                  <c:v>13</c:v>
                </c:pt>
                <c:pt idx="3">
                  <c:v>13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26</c:v>
                </c:pt>
                <c:pt idx="8">
                  <c:v>#N/A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E-4209-9B5B-FE8738EDA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054752"/>
        <c:axId val="1553053312"/>
      </c:scatterChart>
      <c:valAx>
        <c:axId val="155305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3312"/>
        <c:crosses val="autoZero"/>
        <c:crossBetween val="midCat"/>
      </c:valAx>
      <c:valAx>
        <c:axId val="15530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yVal>
            <c:numRef>
              <c:f>KMEANS!$L$7:$L$19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7</c:v>
                </c:pt>
                <c:pt idx="3">
                  <c:v>7</c:v>
                </c:pt>
                <c:pt idx="4">
                  <c:v>#N/A</c:v>
                </c:pt>
                <c:pt idx="5">
                  <c:v>15</c:v>
                </c:pt>
                <c:pt idx="6">
                  <c:v>#N/A</c:v>
                </c:pt>
                <c:pt idx="7">
                  <c:v>17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41-443F-947B-4D37BEDA955B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KMEANS!$K$4:$K$19</c:f>
              <c:numCache>
                <c:formatCode>General</c:formatCode>
                <c:ptCount val="16"/>
                <c:pt idx="0">
                  <c:v>19</c:v>
                </c:pt>
                <c:pt idx="1">
                  <c:v>#N/A</c:v>
                </c:pt>
                <c:pt idx="2">
                  <c:v>13</c:v>
                </c:pt>
                <c:pt idx="3">
                  <c:v>13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26</c:v>
                </c:pt>
                <c:pt idx="8">
                  <c:v>#N/A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41-443F-947B-4D37BEDA9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054752"/>
        <c:axId val="1553053312"/>
      </c:scatterChart>
      <c:valAx>
        <c:axId val="155305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3312"/>
        <c:crosses val="autoZero"/>
        <c:crossBetween val="midCat"/>
      </c:valAx>
      <c:valAx>
        <c:axId val="15530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47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KMEANS!$L$7:$L$19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7</c:v>
                </c:pt>
                <c:pt idx="3">
                  <c:v>7</c:v>
                </c:pt>
                <c:pt idx="4">
                  <c:v>#N/A</c:v>
                </c:pt>
                <c:pt idx="5">
                  <c:v>15</c:v>
                </c:pt>
                <c:pt idx="6">
                  <c:v>#N/A</c:v>
                </c:pt>
                <c:pt idx="7">
                  <c:v>17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1-443F-947B-4D37BEDA9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721632"/>
        <c:axId val="1564723072"/>
      </c:scatterChart>
      <c:valAx>
        <c:axId val="156472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4723072"/>
        <c:crosses val="autoZero"/>
        <c:crossBetween val="midCat"/>
      </c:valAx>
      <c:valAx>
        <c:axId val="156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472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KMEANS!$K$4:$K$19</c:f>
              <c:numCache>
                <c:formatCode>General</c:formatCode>
                <c:ptCount val="16"/>
                <c:pt idx="0">
                  <c:v>19</c:v>
                </c:pt>
                <c:pt idx="1">
                  <c:v>#N/A</c:v>
                </c:pt>
                <c:pt idx="2">
                  <c:v>13</c:v>
                </c:pt>
                <c:pt idx="3">
                  <c:v>13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26</c:v>
                </c:pt>
                <c:pt idx="8">
                  <c:v>#N/A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D-4321-86CC-43B3891C8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054752"/>
        <c:axId val="1553053312"/>
      </c:scatterChart>
      <c:valAx>
        <c:axId val="155305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3312"/>
        <c:crosses val="autoZero"/>
        <c:crossBetween val="midCat"/>
      </c:valAx>
      <c:valAx>
        <c:axId val="15530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yVal>
            <c:numRef>
              <c:f>KMEANS!$L$7:$L$19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7</c:v>
                </c:pt>
                <c:pt idx="3">
                  <c:v>7</c:v>
                </c:pt>
                <c:pt idx="4">
                  <c:v>#N/A</c:v>
                </c:pt>
                <c:pt idx="5">
                  <c:v>15</c:v>
                </c:pt>
                <c:pt idx="6">
                  <c:v>#N/A</c:v>
                </c:pt>
                <c:pt idx="7">
                  <c:v>17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F-4405-B9E8-56952B97C35B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KMEANS!$K$4:$K$19</c:f>
              <c:numCache>
                <c:formatCode>General</c:formatCode>
                <c:ptCount val="16"/>
                <c:pt idx="0">
                  <c:v>19</c:v>
                </c:pt>
                <c:pt idx="1">
                  <c:v>#N/A</c:v>
                </c:pt>
                <c:pt idx="2">
                  <c:v>13</c:v>
                </c:pt>
                <c:pt idx="3">
                  <c:v>13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26</c:v>
                </c:pt>
                <c:pt idx="8">
                  <c:v>#N/A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5F-4405-B9E8-56952B97C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054752"/>
        <c:axId val="1553053312"/>
      </c:scatterChart>
      <c:valAx>
        <c:axId val="155305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3312"/>
        <c:crosses val="autoZero"/>
        <c:crossBetween val="midCat"/>
      </c:valAx>
      <c:valAx>
        <c:axId val="15530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530547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19</xdr:row>
      <xdr:rowOff>92075</xdr:rowOff>
    </xdr:from>
    <xdr:to>
      <xdr:col>10</xdr:col>
      <xdr:colOff>644525</xdr:colOff>
      <xdr:row>32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E0C59F-73E5-BF56-9016-62E5CCFB8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3</xdr:row>
      <xdr:rowOff>53974</xdr:rowOff>
    </xdr:from>
    <xdr:to>
      <xdr:col>16</xdr:col>
      <xdr:colOff>184151</xdr:colOff>
      <xdr:row>18</xdr:row>
      <xdr:rowOff>177799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96FE3AD-6DF0-DF68-C700-381B907EC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187325</xdr:colOff>
      <xdr:row>19</xdr:row>
      <xdr:rowOff>98425</xdr:rowOff>
    </xdr:from>
    <xdr:to>
      <xdr:col>18</xdr:col>
      <xdr:colOff>136525</xdr:colOff>
      <xdr:row>32</xdr:row>
      <xdr:rowOff>34925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EFBAB89-1E7B-A2BF-ACE7-CA1EFBE28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260350</xdr:colOff>
      <xdr:row>7</xdr:row>
      <xdr:rowOff>76200</xdr:rowOff>
    </xdr:from>
    <xdr:to>
      <xdr:col>13</xdr:col>
      <xdr:colOff>647700</xdr:colOff>
      <xdr:row>9</xdr:row>
      <xdr:rowOff>31750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C0151387-A284-1643-7C03-6B8164F03150}"/>
            </a:ext>
          </a:extLst>
        </xdr:cNvPr>
        <xdr:cNvSpPr/>
      </xdr:nvSpPr>
      <xdr:spPr>
        <a:xfrm>
          <a:off x="9467850" y="1593850"/>
          <a:ext cx="387350" cy="38735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15</xdr:col>
      <xdr:colOff>57150</xdr:colOff>
      <xdr:row>11</xdr:row>
      <xdr:rowOff>190500</xdr:rowOff>
    </xdr:from>
    <xdr:to>
      <xdr:col>15</xdr:col>
      <xdr:colOff>444500</xdr:colOff>
      <xdr:row>13</xdr:row>
      <xdr:rowOff>146050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9192641F-6E30-7FCA-8E6E-15CF4DDF92A9}"/>
            </a:ext>
          </a:extLst>
        </xdr:cNvPr>
        <xdr:cNvSpPr/>
      </xdr:nvSpPr>
      <xdr:spPr>
        <a:xfrm>
          <a:off x="10585450" y="2571750"/>
          <a:ext cx="387350" cy="38735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17</xdr:col>
      <xdr:colOff>34925</xdr:colOff>
      <xdr:row>19</xdr:row>
      <xdr:rowOff>92075</xdr:rowOff>
    </xdr:from>
    <xdr:to>
      <xdr:col>23</xdr:col>
      <xdr:colOff>644525</xdr:colOff>
      <xdr:row>32</xdr:row>
      <xdr:rowOff>28575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F3F2C1C-A28C-4E62-BD16-BDCEB50A8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342900</xdr:colOff>
      <xdr:row>3</xdr:row>
      <xdr:rowOff>53974</xdr:rowOff>
    </xdr:from>
    <xdr:to>
      <xdr:col>29</xdr:col>
      <xdr:colOff>184151</xdr:colOff>
      <xdr:row>18</xdr:row>
      <xdr:rowOff>177799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FDAD33B-FF7D-405E-8B4D-694301023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260350</xdr:colOff>
      <xdr:row>7</xdr:row>
      <xdr:rowOff>76200</xdr:rowOff>
    </xdr:from>
    <xdr:to>
      <xdr:col>26</xdr:col>
      <xdr:colOff>647700</xdr:colOff>
      <xdr:row>9</xdr:row>
      <xdr:rowOff>31750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84C75802-CAF0-4F1A-AA4F-1DB247DE9B94}"/>
            </a:ext>
          </a:extLst>
        </xdr:cNvPr>
        <xdr:cNvSpPr/>
      </xdr:nvSpPr>
      <xdr:spPr>
        <a:xfrm>
          <a:off x="9467850" y="1593850"/>
          <a:ext cx="387350" cy="38735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28</xdr:col>
      <xdr:colOff>57150</xdr:colOff>
      <xdr:row>11</xdr:row>
      <xdr:rowOff>190500</xdr:rowOff>
    </xdr:from>
    <xdr:to>
      <xdr:col>28</xdr:col>
      <xdr:colOff>444500</xdr:colOff>
      <xdr:row>13</xdr:row>
      <xdr:rowOff>146050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CC641CFE-81B7-4B3F-9241-CEB9B6D724F7}"/>
            </a:ext>
          </a:extLst>
        </xdr:cNvPr>
        <xdr:cNvSpPr/>
      </xdr:nvSpPr>
      <xdr:spPr>
        <a:xfrm>
          <a:off x="10585450" y="2571750"/>
          <a:ext cx="387350" cy="38735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404A-591C-4C90-96B3-1BA0A1E45CD5}">
  <dimension ref="A2:Y2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5" sqref="C25"/>
    </sheetView>
  </sheetViews>
  <sheetFormatPr defaultRowHeight="17" x14ac:dyDescent="0.45"/>
  <cols>
    <col min="1" max="1" width="12.33203125" bestFit="1" customWidth="1"/>
    <col min="2" max="2" width="13.1640625" bestFit="1" customWidth="1"/>
  </cols>
  <sheetData>
    <row r="2" spans="1:25" ht="17.5" thickBot="1" x14ac:dyDescent="0.5">
      <c r="D2" t="s">
        <v>3</v>
      </c>
      <c r="G2" t="s">
        <v>2</v>
      </c>
      <c r="Q2" t="s">
        <v>3</v>
      </c>
      <c r="T2" t="s">
        <v>2</v>
      </c>
    </row>
    <row r="3" spans="1:25" x14ac:dyDescent="0.45">
      <c r="A3" s="2" t="s">
        <v>0</v>
      </c>
      <c r="B3" s="2" t="s">
        <v>1</v>
      </c>
      <c r="D3">
        <v>2</v>
      </c>
      <c r="E3">
        <v>20</v>
      </c>
      <c r="F3" t="s">
        <v>4</v>
      </c>
      <c r="G3">
        <v>15</v>
      </c>
      <c r="H3">
        <v>10</v>
      </c>
      <c r="I3" t="s">
        <v>4</v>
      </c>
      <c r="J3" t="s">
        <v>5</v>
      </c>
      <c r="K3" t="s">
        <v>6</v>
      </c>
      <c r="L3" t="s">
        <v>7</v>
      </c>
      <c r="Q3">
        <v>2</v>
      </c>
      <c r="R3">
        <v>20</v>
      </c>
      <c r="S3" t="s">
        <v>4</v>
      </c>
      <c r="T3">
        <v>15</v>
      </c>
      <c r="U3">
        <v>10</v>
      </c>
      <c r="V3" t="s">
        <v>4</v>
      </c>
      <c r="W3" t="s">
        <v>5</v>
      </c>
      <c r="X3" t="s">
        <v>6</v>
      </c>
      <c r="Y3" t="s">
        <v>7</v>
      </c>
    </row>
    <row r="4" spans="1:25" x14ac:dyDescent="0.45">
      <c r="A4">
        <v>1</v>
      </c>
      <c r="B4">
        <v>19</v>
      </c>
      <c r="D4" s="3">
        <f>($A4-D$3)^2</f>
        <v>1</v>
      </c>
      <c r="E4" s="3">
        <f>($B4-E$3)^2</f>
        <v>1</v>
      </c>
      <c r="F4">
        <f>SQRT(D4+E4)</f>
        <v>1.4142135623730951</v>
      </c>
      <c r="G4">
        <f>($A4-G$3)^2</f>
        <v>196</v>
      </c>
      <c r="H4">
        <f>($B4-H$3)^2</f>
        <v>81</v>
      </c>
      <c r="I4">
        <f>SQRT(G4+H4)</f>
        <v>16.643316977093239</v>
      </c>
      <c r="J4">
        <f>F4-I4</f>
        <v>-15.229103414720143</v>
      </c>
      <c r="K4">
        <f>IF(J4&lt;=0,$B4,NA())</f>
        <v>19</v>
      </c>
      <c r="L4" t="e">
        <f>IF(J4&gt;0,$B4,NA())</f>
        <v>#N/A</v>
      </c>
      <c r="Q4" s="3">
        <f>($A4-Q$3)^2</f>
        <v>1</v>
      </c>
      <c r="R4" s="3">
        <f>($B4-R$3)^2</f>
        <v>1</v>
      </c>
      <c r="S4">
        <f>SQRT(Q4+R4)</f>
        <v>1.4142135623730951</v>
      </c>
      <c r="T4">
        <f>($A4-T$3)^2</f>
        <v>196</v>
      </c>
      <c r="U4">
        <f>($B4-U$3)^2</f>
        <v>81</v>
      </c>
      <c r="V4">
        <f>SQRT(T4+U4)</f>
        <v>16.643316977093239</v>
      </c>
      <c r="W4">
        <f>S4-V4</f>
        <v>-15.229103414720143</v>
      </c>
      <c r="X4">
        <f>IF(W4&lt;=0,$B4,NA())</f>
        <v>19</v>
      </c>
      <c r="Y4" t="e">
        <f>IF(W4&gt;0,$B4,NA())</f>
        <v>#N/A</v>
      </c>
    </row>
    <row r="5" spans="1:25" x14ac:dyDescent="0.45">
      <c r="A5">
        <v>13</v>
      </c>
      <c r="B5">
        <v>13</v>
      </c>
      <c r="D5" s="3">
        <f t="shared" ref="D5:D19" si="0">($A5-D$3)^2</f>
        <v>121</v>
      </c>
      <c r="E5" s="3">
        <f t="shared" ref="E5:E19" si="1">($B5-E$3)^2</f>
        <v>49</v>
      </c>
      <c r="F5">
        <f t="shared" ref="F5:F19" si="2">SQRT(D5+E5)</f>
        <v>13.038404810405298</v>
      </c>
      <c r="G5">
        <f t="shared" ref="G5:G19" si="3">($A5-G$3)^2</f>
        <v>4</v>
      </c>
      <c r="H5">
        <f t="shared" ref="H5:H19" si="4">($B5-H$3)^2</f>
        <v>9</v>
      </c>
      <c r="I5">
        <f t="shared" ref="I5:I19" si="5">SQRT(G5+H5)</f>
        <v>3.6055512754639891</v>
      </c>
      <c r="J5">
        <f t="shared" ref="J5:J19" si="6">F5-I5</f>
        <v>9.4328535349413087</v>
      </c>
      <c r="K5" t="e">
        <f t="shared" ref="K5:K19" si="7">IF(J5&lt;=0,$B5,NA())</f>
        <v>#N/A</v>
      </c>
      <c r="L5">
        <f t="shared" ref="L5:L19" si="8">IF(J5&gt;0,$B5,NA())</f>
        <v>13</v>
      </c>
      <c r="Q5" s="3">
        <f t="shared" ref="Q5:Q19" si="9">($A5-Q$3)^2</f>
        <v>121</v>
      </c>
      <c r="R5" s="3">
        <f t="shared" ref="R5:R19" si="10">($B5-R$3)^2</f>
        <v>49</v>
      </c>
      <c r="S5">
        <f t="shared" ref="S5:S19" si="11">SQRT(Q5+R5)</f>
        <v>13.038404810405298</v>
      </c>
      <c r="T5">
        <f t="shared" ref="T5:T19" si="12">($A5-T$3)^2</f>
        <v>4</v>
      </c>
      <c r="U5">
        <f t="shared" ref="U5:U19" si="13">($B5-U$3)^2</f>
        <v>9</v>
      </c>
      <c r="V5">
        <f t="shared" ref="V5:V19" si="14">SQRT(T5+U5)</f>
        <v>3.6055512754639891</v>
      </c>
      <c r="W5">
        <f t="shared" ref="W5:W19" si="15">S5-V5</f>
        <v>9.4328535349413087</v>
      </c>
      <c r="X5" t="e">
        <f t="shared" ref="X5:X19" si="16">IF(W5&lt;=0,$B5,NA())</f>
        <v>#N/A</v>
      </c>
      <c r="Y5">
        <f t="shared" ref="Y5:Y19" si="17">IF(W5&gt;0,$B5,NA())</f>
        <v>13</v>
      </c>
    </row>
    <row r="6" spans="1:25" x14ac:dyDescent="0.45">
      <c r="A6">
        <v>4</v>
      </c>
      <c r="B6">
        <v>13</v>
      </c>
      <c r="D6" s="3">
        <f t="shared" si="0"/>
        <v>4</v>
      </c>
      <c r="E6" s="3">
        <f t="shared" si="1"/>
        <v>49</v>
      </c>
      <c r="F6">
        <f t="shared" si="2"/>
        <v>7.2801098892805181</v>
      </c>
      <c r="G6">
        <f t="shared" si="3"/>
        <v>121</v>
      </c>
      <c r="H6">
        <f t="shared" si="4"/>
        <v>9</v>
      </c>
      <c r="I6">
        <f t="shared" si="5"/>
        <v>11.401754250991379</v>
      </c>
      <c r="J6">
        <f t="shared" si="6"/>
        <v>-4.1216443617108611</v>
      </c>
      <c r="K6">
        <f t="shared" si="7"/>
        <v>13</v>
      </c>
      <c r="L6" t="e">
        <f t="shared" si="8"/>
        <v>#N/A</v>
      </c>
      <c r="Q6" s="3">
        <f t="shared" si="9"/>
        <v>4</v>
      </c>
      <c r="R6" s="3">
        <f t="shared" si="10"/>
        <v>49</v>
      </c>
      <c r="S6">
        <f t="shared" si="11"/>
        <v>7.2801098892805181</v>
      </c>
      <c r="T6">
        <f t="shared" si="12"/>
        <v>121</v>
      </c>
      <c r="U6">
        <f t="shared" si="13"/>
        <v>9</v>
      </c>
      <c r="V6">
        <f t="shared" si="14"/>
        <v>11.401754250991379</v>
      </c>
      <c r="W6">
        <f t="shared" si="15"/>
        <v>-4.1216443617108611</v>
      </c>
      <c r="X6">
        <f t="shared" si="16"/>
        <v>13</v>
      </c>
      <c r="Y6" t="e">
        <f t="shared" si="17"/>
        <v>#N/A</v>
      </c>
    </row>
    <row r="7" spans="1:25" x14ac:dyDescent="0.45">
      <c r="A7">
        <v>5</v>
      </c>
      <c r="B7">
        <v>13</v>
      </c>
      <c r="D7" s="3">
        <f t="shared" si="0"/>
        <v>9</v>
      </c>
      <c r="E7" s="3">
        <f t="shared" si="1"/>
        <v>49</v>
      </c>
      <c r="F7">
        <f t="shared" si="2"/>
        <v>7.6157731058639087</v>
      </c>
      <c r="G7">
        <f t="shared" si="3"/>
        <v>100</v>
      </c>
      <c r="H7">
        <f t="shared" si="4"/>
        <v>9</v>
      </c>
      <c r="I7">
        <f t="shared" si="5"/>
        <v>10.440306508910551</v>
      </c>
      <c r="J7">
        <f t="shared" si="6"/>
        <v>-2.824533403046642</v>
      </c>
      <c r="K7">
        <f t="shared" si="7"/>
        <v>13</v>
      </c>
      <c r="L7" t="e">
        <f t="shared" si="8"/>
        <v>#N/A</v>
      </c>
      <c r="Q7" s="3">
        <f t="shared" si="9"/>
        <v>9</v>
      </c>
      <c r="R7" s="3">
        <f t="shared" si="10"/>
        <v>49</v>
      </c>
      <c r="S7">
        <f t="shared" si="11"/>
        <v>7.6157731058639087</v>
      </c>
      <c r="T7">
        <f t="shared" si="12"/>
        <v>100</v>
      </c>
      <c r="U7">
        <f t="shared" si="13"/>
        <v>9</v>
      </c>
      <c r="V7">
        <f t="shared" si="14"/>
        <v>10.440306508910551</v>
      </c>
      <c r="W7">
        <f t="shared" si="15"/>
        <v>-2.824533403046642</v>
      </c>
      <c r="X7">
        <f t="shared" si="16"/>
        <v>13</v>
      </c>
      <c r="Y7" t="e">
        <f t="shared" si="17"/>
        <v>#N/A</v>
      </c>
    </row>
    <row r="8" spans="1:25" x14ac:dyDescent="0.45">
      <c r="A8">
        <v>7</v>
      </c>
      <c r="B8">
        <v>18</v>
      </c>
      <c r="D8" s="3">
        <f t="shared" si="0"/>
        <v>25</v>
      </c>
      <c r="E8" s="3">
        <f t="shared" si="1"/>
        <v>4</v>
      </c>
      <c r="F8">
        <f t="shared" si="2"/>
        <v>5.3851648071345037</v>
      </c>
      <c r="G8">
        <f t="shared" si="3"/>
        <v>64</v>
      </c>
      <c r="H8">
        <f t="shared" si="4"/>
        <v>64</v>
      </c>
      <c r="I8">
        <f t="shared" si="5"/>
        <v>11.313708498984761</v>
      </c>
      <c r="J8">
        <f t="shared" si="6"/>
        <v>-5.9285436918502574</v>
      </c>
      <c r="K8">
        <f t="shared" si="7"/>
        <v>18</v>
      </c>
      <c r="L8" t="e">
        <f t="shared" si="8"/>
        <v>#N/A</v>
      </c>
      <c r="Q8" s="3">
        <f t="shared" si="9"/>
        <v>25</v>
      </c>
      <c r="R8" s="3">
        <f t="shared" si="10"/>
        <v>4</v>
      </c>
      <c r="S8">
        <f t="shared" si="11"/>
        <v>5.3851648071345037</v>
      </c>
      <c r="T8">
        <f t="shared" si="12"/>
        <v>64</v>
      </c>
      <c r="U8">
        <f t="shared" si="13"/>
        <v>64</v>
      </c>
      <c r="V8">
        <f t="shared" si="14"/>
        <v>11.313708498984761</v>
      </c>
      <c r="W8">
        <f t="shared" si="15"/>
        <v>-5.9285436918502574</v>
      </c>
      <c r="X8">
        <f t="shared" si="16"/>
        <v>18</v>
      </c>
      <c r="Y8" t="e">
        <f t="shared" si="17"/>
        <v>#N/A</v>
      </c>
    </row>
    <row r="9" spans="1:25" x14ac:dyDescent="0.45">
      <c r="A9">
        <v>4</v>
      </c>
      <c r="B9">
        <v>7</v>
      </c>
      <c r="D9" s="3">
        <f t="shared" si="0"/>
        <v>4</v>
      </c>
      <c r="E9" s="3">
        <f t="shared" si="1"/>
        <v>169</v>
      </c>
      <c r="F9">
        <f t="shared" si="2"/>
        <v>13.152946437965905</v>
      </c>
      <c r="G9">
        <f t="shared" si="3"/>
        <v>121</v>
      </c>
      <c r="H9">
        <f t="shared" si="4"/>
        <v>9</v>
      </c>
      <c r="I9">
        <f t="shared" si="5"/>
        <v>11.401754250991379</v>
      </c>
      <c r="J9">
        <f t="shared" si="6"/>
        <v>1.7511921869745262</v>
      </c>
      <c r="K9" t="e">
        <f t="shared" si="7"/>
        <v>#N/A</v>
      </c>
      <c r="L9">
        <f t="shared" si="8"/>
        <v>7</v>
      </c>
      <c r="Q9" s="3">
        <f t="shared" si="9"/>
        <v>4</v>
      </c>
      <c r="R9" s="3">
        <f t="shared" si="10"/>
        <v>169</v>
      </c>
      <c r="S9">
        <f t="shared" si="11"/>
        <v>13.152946437965905</v>
      </c>
      <c r="T9">
        <f t="shared" si="12"/>
        <v>121</v>
      </c>
      <c r="U9">
        <f t="shared" si="13"/>
        <v>9</v>
      </c>
      <c r="V9">
        <f t="shared" si="14"/>
        <v>11.401754250991379</v>
      </c>
      <c r="W9">
        <f t="shared" si="15"/>
        <v>1.7511921869745262</v>
      </c>
      <c r="X9" t="e">
        <f t="shared" si="16"/>
        <v>#N/A</v>
      </c>
      <c r="Y9">
        <f t="shared" si="17"/>
        <v>7</v>
      </c>
    </row>
    <row r="10" spans="1:25" x14ac:dyDescent="0.45">
      <c r="A10">
        <v>12</v>
      </c>
      <c r="B10">
        <v>7</v>
      </c>
      <c r="D10" s="3">
        <f t="shared" si="0"/>
        <v>100</v>
      </c>
      <c r="E10" s="3">
        <f t="shared" si="1"/>
        <v>169</v>
      </c>
      <c r="F10">
        <f t="shared" si="2"/>
        <v>16.401219466856727</v>
      </c>
      <c r="G10">
        <f t="shared" si="3"/>
        <v>9</v>
      </c>
      <c r="H10">
        <f t="shared" si="4"/>
        <v>9</v>
      </c>
      <c r="I10">
        <f t="shared" si="5"/>
        <v>4.2426406871192848</v>
      </c>
      <c r="J10">
        <f t="shared" si="6"/>
        <v>12.158578779737443</v>
      </c>
      <c r="K10" t="e">
        <f t="shared" si="7"/>
        <v>#N/A</v>
      </c>
      <c r="L10">
        <f t="shared" si="8"/>
        <v>7</v>
      </c>
      <c r="Q10" s="3">
        <f t="shared" si="9"/>
        <v>100</v>
      </c>
      <c r="R10" s="3">
        <f t="shared" si="10"/>
        <v>169</v>
      </c>
      <c r="S10">
        <f t="shared" si="11"/>
        <v>16.401219466856727</v>
      </c>
      <c r="T10">
        <f t="shared" si="12"/>
        <v>9</v>
      </c>
      <c r="U10">
        <f t="shared" si="13"/>
        <v>9</v>
      </c>
      <c r="V10">
        <f t="shared" si="14"/>
        <v>4.2426406871192848</v>
      </c>
      <c r="W10">
        <f t="shared" si="15"/>
        <v>12.158578779737443</v>
      </c>
      <c r="X10" t="e">
        <f t="shared" si="16"/>
        <v>#N/A</v>
      </c>
      <c r="Y10">
        <f t="shared" si="17"/>
        <v>7</v>
      </c>
    </row>
    <row r="11" spans="1:25" x14ac:dyDescent="0.45">
      <c r="A11">
        <v>7</v>
      </c>
      <c r="B11">
        <v>26</v>
      </c>
      <c r="D11" s="3">
        <f t="shared" si="0"/>
        <v>25</v>
      </c>
      <c r="E11" s="3">
        <f t="shared" si="1"/>
        <v>36</v>
      </c>
      <c r="F11">
        <f t="shared" si="2"/>
        <v>7.810249675906654</v>
      </c>
      <c r="G11">
        <f t="shared" si="3"/>
        <v>64</v>
      </c>
      <c r="H11">
        <f t="shared" si="4"/>
        <v>256</v>
      </c>
      <c r="I11">
        <f t="shared" si="5"/>
        <v>17.888543819998318</v>
      </c>
      <c r="J11">
        <f t="shared" si="6"/>
        <v>-10.078294144091664</v>
      </c>
      <c r="K11">
        <f t="shared" si="7"/>
        <v>26</v>
      </c>
      <c r="L11" t="e">
        <f t="shared" si="8"/>
        <v>#N/A</v>
      </c>
      <c r="Q11" s="3">
        <f t="shared" si="9"/>
        <v>25</v>
      </c>
      <c r="R11" s="3">
        <f t="shared" si="10"/>
        <v>36</v>
      </c>
      <c r="S11">
        <f t="shared" si="11"/>
        <v>7.810249675906654</v>
      </c>
      <c r="T11">
        <f t="shared" si="12"/>
        <v>64</v>
      </c>
      <c r="U11">
        <f t="shared" si="13"/>
        <v>256</v>
      </c>
      <c r="V11">
        <f t="shared" si="14"/>
        <v>17.888543819998318</v>
      </c>
      <c r="W11">
        <f t="shared" si="15"/>
        <v>-10.078294144091664</v>
      </c>
      <c r="X11">
        <f t="shared" si="16"/>
        <v>26</v>
      </c>
      <c r="Y11" t="e">
        <f t="shared" si="17"/>
        <v>#N/A</v>
      </c>
    </row>
    <row r="12" spans="1:25" x14ac:dyDescent="0.45">
      <c r="A12">
        <v>12</v>
      </c>
      <c r="B12">
        <v>15</v>
      </c>
      <c r="D12" s="3">
        <f t="shared" si="0"/>
        <v>100</v>
      </c>
      <c r="E12" s="3">
        <f t="shared" si="1"/>
        <v>25</v>
      </c>
      <c r="F12">
        <f t="shared" si="2"/>
        <v>11.180339887498949</v>
      </c>
      <c r="G12">
        <f t="shared" si="3"/>
        <v>9</v>
      </c>
      <c r="H12">
        <f t="shared" si="4"/>
        <v>25</v>
      </c>
      <c r="I12">
        <f t="shared" si="5"/>
        <v>5.8309518948453007</v>
      </c>
      <c r="J12">
        <f t="shared" si="6"/>
        <v>5.3493879926536483</v>
      </c>
      <c r="K12" t="e">
        <f t="shared" si="7"/>
        <v>#N/A</v>
      </c>
      <c r="L12">
        <f t="shared" si="8"/>
        <v>15</v>
      </c>
      <c r="Q12" s="3">
        <f t="shared" si="9"/>
        <v>100</v>
      </c>
      <c r="R12" s="3">
        <f t="shared" si="10"/>
        <v>25</v>
      </c>
      <c r="S12">
        <f t="shared" si="11"/>
        <v>11.180339887498949</v>
      </c>
      <c r="T12">
        <f t="shared" si="12"/>
        <v>9</v>
      </c>
      <c r="U12">
        <f t="shared" si="13"/>
        <v>25</v>
      </c>
      <c r="V12">
        <f t="shared" si="14"/>
        <v>5.8309518948453007</v>
      </c>
      <c r="W12">
        <f t="shared" si="15"/>
        <v>5.3493879926536483</v>
      </c>
      <c r="X12" t="e">
        <f t="shared" si="16"/>
        <v>#N/A</v>
      </c>
      <c r="Y12">
        <f t="shared" si="17"/>
        <v>15</v>
      </c>
    </row>
    <row r="13" spans="1:25" x14ac:dyDescent="0.45">
      <c r="A13">
        <v>3</v>
      </c>
      <c r="B13">
        <v>28</v>
      </c>
      <c r="D13" s="3">
        <f t="shared" si="0"/>
        <v>1</v>
      </c>
      <c r="E13" s="3">
        <f t="shared" si="1"/>
        <v>64</v>
      </c>
      <c r="F13">
        <f t="shared" si="2"/>
        <v>8.0622577482985491</v>
      </c>
      <c r="G13">
        <f t="shared" si="3"/>
        <v>144</v>
      </c>
      <c r="H13">
        <f t="shared" si="4"/>
        <v>324</v>
      </c>
      <c r="I13">
        <f t="shared" si="5"/>
        <v>21.633307652783937</v>
      </c>
      <c r="J13">
        <f t="shared" si="6"/>
        <v>-13.571049904485388</v>
      </c>
      <c r="K13">
        <f t="shared" si="7"/>
        <v>28</v>
      </c>
      <c r="L13" t="e">
        <f t="shared" si="8"/>
        <v>#N/A</v>
      </c>
      <c r="Q13" s="3">
        <f t="shared" si="9"/>
        <v>1</v>
      </c>
      <c r="R13" s="3">
        <f t="shared" si="10"/>
        <v>64</v>
      </c>
      <c r="S13">
        <f t="shared" si="11"/>
        <v>8.0622577482985491</v>
      </c>
      <c r="T13">
        <f t="shared" si="12"/>
        <v>144</v>
      </c>
      <c r="U13">
        <f t="shared" si="13"/>
        <v>324</v>
      </c>
      <c r="V13">
        <f t="shared" si="14"/>
        <v>21.633307652783937</v>
      </c>
      <c r="W13">
        <f t="shared" si="15"/>
        <v>-13.571049904485388</v>
      </c>
      <c r="X13">
        <f t="shared" si="16"/>
        <v>28</v>
      </c>
      <c r="Y13" t="e">
        <f t="shared" si="17"/>
        <v>#N/A</v>
      </c>
    </row>
    <row r="14" spans="1:25" x14ac:dyDescent="0.45">
      <c r="A14">
        <v>17</v>
      </c>
      <c r="B14">
        <v>17</v>
      </c>
      <c r="D14" s="3">
        <f t="shared" si="0"/>
        <v>225</v>
      </c>
      <c r="E14" s="3">
        <f t="shared" si="1"/>
        <v>9</v>
      </c>
      <c r="F14">
        <f t="shared" si="2"/>
        <v>15.297058540778355</v>
      </c>
      <c r="G14">
        <f t="shared" si="3"/>
        <v>4</v>
      </c>
      <c r="H14">
        <f t="shared" si="4"/>
        <v>49</v>
      </c>
      <c r="I14">
        <f t="shared" si="5"/>
        <v>7.2801098892805181</v>
      </c>
      <c r="J14">
        <f t="shared" si="6"/>
        <v>8.0169486514978381</v>
      </c>
      <c r="K14" t="e">
        <f t="shared" si="7"/>
        <v>#N/A</v>
      </c>
      <c r="L14">
        <f t="shared" si="8"/>
        <v>17</v>
      </c>
      <c r="Q14" s="3">
        <f t="shared" si="9"/>
        <v>225</v>
      </c>
      <c r="R14" s="3">
        <f t="shared" si="10"/>
        <v>9</v>
      </c>
      <c r="S14">
        <f t="shared" si="11"/>
        <v>15.297058540778355</v>
      </c>
      <c r="T14">
        <f t="shared" si="12"/>
        <v>4</v>
      </c>
      <c r="U14">
        <f t="shared" si="13"/>
        <v>49</v>
      </c>
      <c r="V14">
        <f t="shared" si="14"/>
        <v>7.2801098892805181</v>
      </c>
      <c r="W14">
        <f t="shared" si="15"/>
        <v>8.0169486514978381</v>
      </c>
      <c r="X14" t="e">
        <f t="shared" si="16"/>
        <v>#N/A</v>
      </c>
      <c r="Y14">
        <f t="shared" si="17"/>
        <v>17</v>
      </c>
    </row>
    <row r="15" spans="1:25" x14ac:dyDescent="0.45">
      <c r="A15">
        <v>7</v>
      </c>
      <c r="B15">
        <v>9</v>
      </c>
      <c r="D15" s="3">
        <f t="shared" si="0"/>
        <v>25</v>
      </c>
      <c r="E15" s="3">
        <f t="shared" si="1"/>
        <v>121</v>
      </c>
      <c r="F15">
        <f t="shared" si="2"/>
        <v>12.083045973594572</v>
      </c>
      <c r="G15">
        <f t="shared" si="3"/>
        <v>64</v>
      </c>
      <c r="H15">
        <f t="shared" si="4"/>
        <v>1</v>
      </c>
      <c r="I15">
        <f t="shared" si="5"/>
        <v>8.0622577482985491</v>
      </c>
      <c r="J15">
        <f t="shared" si="6"/>
        <v>4.0207882252960232</v>
      </c>
      <c r="K15" t="e">
        <f t="shared" si="7"/>
        <v>#N/A</v>
      </c>
      <c r="L15">
        <f t="shared" si="8"/>
        <v>9</v>
      </c>
      <c r="Q15" s="3">
        <f t="shared" si="9"/>
        <v>25</v>
      </c>
      <c r="R15" s="3">
        <f t="shared" si="10"/>
        <v>121</v>
      </c>
      <c r="S15">
        <f t="shared" si="11"/>
        <v>12.083045973594572</v>
      </c>
      <c r="T15">
        <f t="shared" si="12"/>
        <v>64</v>
      </c>
      <c r="U15">
        <f t="shared" si="13"/>
        <v>1</v>
      </c>
      <c r="V15">
        <f t="shared" si="14"/>
        <v>8.0622577482985491</v>
      </c>
      <c r="W15">
        <f t="shared" si="15"/>
        <v>4.0207882252960232</v>
      </c>
      <c r="X15" t="e">
        <f t="shared" si="16"/>
        <v>#N/A</v>
      </c>
      <c r="Y15">
        <f t="shared" si="17"/>
        <v>9</v>
      </c>
    </row>
    <row r="16" spans="1:25" x14ac:dyDescent="0.45">
      <c r="A16">
        <v>5</v>
      </c>
      <c r="B16">
        <v>8</v>
      </c>
      <c r="D16" s="3">
        <f t="shared" si="0"/>
        <v>9</v>
      </c>
      <c r="E16" s="3">
        <f t="shared" si="1"/>
        <v>144</v>
      </c>
      <c r="F16">
        <f t="shared" si="2"/>
        <v>12.369316876852981</v>
      </c>
      <c r="G16">
        <f t="shared" si="3"/>
        <v>100</v>
      </c>
      <c r="H16">
        <f t="shared" si="4"/>
        <v>4</v>
      </c>
      <c r="I16">
        <f t="shared" si="5"/>
        <v>10.198039027185569</v>
      </c>
      <c r="J16">
        <f t="shared" si="6"/>
        <v>2.1712778496674119</v>
      </c>
      <c r="K16" t="e">
        <f t="shared" si="7"/>
        <v>#N/A</v>
      </c>
      <c r="L16">
        <f t="shared" si="8"/>
        <v>8</v>
      </c>
      <c r="Q16" s="3">
        <f t="shared" si="9"/>
        <v>9</v>
      </c>
      <c r="R16" s="3">
        <f t="shared" si="10"/>
        <v>144</v>
      </c>
      <c r="S16">
        <f t="shared" si="11"/>
        <v>12.369316876852981</v>
      </c>
      <c r="T16">
        <f t="shared" si="12"/>
        <v>100</v>
      </c>
      <c r="U16">
        <f t="shared" si="13"/>
        <v>4</v>
      </c>
      <c r="V16">
        <f t="shared" si="14"/>
        <v>10.198039027185569</v>
      </c>
      <c r="W16">
        <f t="shared" si="15"/>
        <v>2.1712778496674119</v>
      </c>
      <c r="X16" t="e">
        <f t="shared" si="16"/>
        <v>#N/A</v>
      </c>
      <c r="Y16">
        <f t="shared" si="17"/>
        <v>8</v>
      </c>
    </row>
    <row r="17" spans="1:25" x14ac:dyDescent="0.45">
      <c r="A17">
        <v>6</v>
      </c>
      <c r="B17">
        <v>8</v>
      </c>
      <c r="D17" s="3">
        <f t="shared" si="0"/>
        <v>16</v>
      </c>
      <c r="E17" s="3">
        <f t="shared" si="1"/>
        <v>144</v>
      </c>
      <c r="F17">
        <f t="shared" si="2"/>
        <v>12.649110640673518</v>
      </c>
      <c r="G17">
        <f t="shared" si="3"/>
        <v>81</v>
      </c>
      <c r="H17">
        <f t="shared" si="4"/>
        <v>4</v>
      </c>
      <c r="I17">
        <f t="shared" si="5"/>
        <v>9.2195444572928871</v>
      </c>
      <c r="J17">
        <f t="shared" si="6"/>
        <v>3.429566183380631</v>
      </c>
      <c r="K17" t="e">
        <f t="shared" si="7"/>
        <v>#N/A</v>
      </c>
      <c r="L17">
        <f t="shared" si="8"/>
        <v>8</v>
      </c>
      <c r="Q17" s="3">
        <f t="shared" si="9"/>
        <v>16</v>
      </c>
      <c r="R17" s="3">
        <f t="shared" si="10"/>
        <v>144</v>
      </c>
      <c r="S17">
        <f t="shared" si="11"/>
        <v>12.649110640673518</v>
      </c>
      <c r="T17">
        <f t="shared" si="12"/>
        <v>81</v>
      </c>
      <c r="U17">
        <f t="shared" si="13"/>
        <v>4</v>
      </c>
      <c r="V17">
        <f t="shared" si="14"/>
        <v>9.2195444572928871</v>
      </c>
      <c r="W17">
        <f t="shared" si="15"/>
        <v>3.429566183380631</v>
      </c>
      <c r="X17" t="e">
        <f t="shared" si="16"/>
        <v>#N/A</v>
      </c>
      <c r="Y17">
        <f t="shared" si="17"/>
        <v>8</v>
      </c>
    </row>
    <row r="18" spans="1:25" x14ac:dyDescent="0.45">
      <c r="A18">
        <v>7</v>
      </c>
      <c r="B18">
        <v>8</v>
      </c>
      <c r="D18" s="3">
        <f t="shared" si="0"/>
        <v>25</v>
      </c>
      <c r="E18" s="3">
        <f t="shared" si="1"/>
        <v>144</v>
      </c>
      <c r="F18">
        <f t="shared" si="2"/>
        <v>13</v>
      </c>
      <c r="G18">
        <f t="shared" si="3"/>
        <v>64</v>
      </c>
      <c r="H18">
        <f t="shared" si="4"/>
        <v>4</v>
      </c>
      <c r="I18">
        <f t="shared" si="5"/>
        <v>8.2462112512353212</v>
      </c>
      <c r="J18">
        <f t="shared" si="6"/>
        <v>4.7537887487646788</v>
      </c>
      <c r="K18" t="e">
        <f t="shared" si="7"/>
        <v>#N/A</v>
      </c>
      <c r="L18">
        <f t="shared" si="8"/>
        <v>8</v>
      </c>
      <c r="Q18" s="3">
        <f t="shared" si="9"/>
        <v>25</v>
      </c>
      <c r="R18" s="3">
        <f t="shared" si="10"/>
        <v>144</v>
      </c>
      <c r="S18">
        <f t="shared" si="11"/>
        <v>13</v>
      </c>
      <c r="T18">
        <f t="shared" si="12"/>
        <v>64</v>
      </c>
      <c r="U18">
        <f t="shared" si="13"/>
        <v>4</v>
      </c>
      <c r="V18">
        <f t="shared" si="14"/>
        <v>8.2462112512353212</v>
      </c>
      <c r="W18">
        <f t="shared" si="15"/>
        <v>4.7537887487646788</v>
      </c>
      <c r="X18" t="e">
        <f t="shared" si="16"/>
        <v>#N/A</v>
      </c>
      <c r="Y18">
        <f t="shared" si="17"/>
        <v>8</v>
      </c>
    </row>
    <row r="19" spans="1:25" ht="17.5" thickBot="1" x14ac:dyDescent="0.5">
      <c r="A19" s="1">
        <v>5</v>
      </c>
      <c r="B19" s="1">
        <v>4</v>
      </c>
      <c r="D19" s="3">
        <f t="shared" si="0"/>
        <v>9</v>
      </c>
      <c r="E19" s="3">
        <f t="shared" si="1"/>
        <v>256</v>
      </c>
      <c r="F19">
        <f t="shared" si="2"/>
        <v>16.278820596099706</v>
      </c>
      <c r="G19">
        <f t="shared" si="3"/>
        <v>100</v>
      </c>
      <c r="H19">
        <f t="shared" si="4"/>
        <v>36</v>
      </c>
      <c r="I19">
        <f t="shared" si="5"/>
        <v>11.661903789690601</v>
      </c>
      <c r="J19">
        <f t="shared" si="6"/>
        <v>4.6169168064091046</v>
      </c>
      <c r="K19" t="e">
        <f t="shared" si="7"/>
        <v>#N/A</v>
      </c>
      <c r="L19">
        <f t="shared" si="8"/>
        <v>4</v>
      </c>
      <c r="Q19" s="3">
        <f t="shared" si="9"/>
        <v>9</v>
      </c>
      <c r="R19" s="3">
        <f t="shared" si="10"/>
        <v>256</v>
      </c>
      <c r="S19">
        <f t="shared" si="11"/>
        <v>16.278820596099706</v>
      </c>
      <c r="T19">
        <f t="shared" si="12"/>
        <v>100</v>
      </c>
      <c r="U19">
        <f t="shared" si="13"/>
        <v>36</v>
      </c>
      <c r="V19">
        <f t="shared" si="14"/>
        <v>11.661903789690601</v>
      </c>
      <c r="W19">
        <f t="shared" si="15"/>
        <v>4.6169168064091046</v>
      </c>
      <c r="X19" t="e">
        <f t="shared" si="16"/>
        <v>#N/A</v>
      </c>
      <c r="Y19">
        <f t="shared" si="17"/>
        <v>4</v>
      </c>
    </row>
    <row r="20" spans="1:25" x14ac:dyDescent="0.45">
      <c r="A20" s="3"/>
      <c r="B20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대경 김</cp:lastModifiedBy>
  <dcterms:created xsi:type="dcterms:W3CDTF">2024-07-12T02:56:22Z</dcterms:created>
  <dcterms:modified xsi:type="dcterms:W3CDTF">2024-08-09T00:16:58Z</dcterms:modified>
</cp:coreProperties>
</file>