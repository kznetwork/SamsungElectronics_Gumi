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eKyeong\Downloads\"/>
    </mc:Choice>
  </mc:AlternateContent>
  <xr:revisionPtr revIDLastSave="0" documentId="13_ncr:1_{59D940AA-5D27-4FF3-A489-513EB2E9C234}" xr6:coauthVersionLast="47" xr6:coauthVersionMax="47" xr10:uidLastSave="{00000000-0000-0000-0000-000000000000}"/>
  <bookViews>
    <workbookView xWindow="-120" yWindow="-120" windowWidth="29040" windowHeight="15840" activeTab="8" xr2:uid="{863BB611-1998-463C-B72B-94CCBFD5BA15}"/>
  </bookViews>
  <sheets>
    <sheet name="COMBIN" sheetId="2" r:id="rId1"/>
    <sheet name="RANDBETWEEN" sheetId="1" r:id="rId2"/>
    <sheet name="평균" sheetId="4" r:id="rId3"/>
    <sheet name="중앙값" sheetId="5" r:id="rId4"/>
    <sheet name="최빈값" sheetId="6" r:id="rId5"/>
    <sheet name="표본분산" sheetId="7" r:id="rId6"/>
    <sheet name="표본표준편차" sheetId="8" r:id="rId7"/>
    <sheet name="사분위" sheetId="9" r:id="rId8"/>
    <sheet name="분석도구" sheetId="10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6" i="9" l="1"/>
  <c r="B65" i="9"/>
  <c r="B64" i="9"/>
  <c r="B63" i="9"/>
  <c r="B62" i="9"/>
  <c r="D66" i="7"/>
  <c r="D65" i="7"/>
  <c r="D64" i="7"/>
  <c r="D63" i="7"/>
  <c r="D6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2" i="7"/>
  <c r="B62" i="7"/>
  <c r="B62" i="5"/>
  <c r="B62" i="6"/>
  <c r="B63" i="4"/>
  <c r="B62" i="4"/>
  <c r="B62" i="8"/>
  <c r="C61" i="8" s="1"/>
  <c r="D61" i="8" s="1"/>
  <c r="C58" i="8"/>
  <c r="D58" i="8" s="1"/>
  <c r="D56" i="8"/>
  <c r="C56" i="8"/>
  <c r="C52" i="8"/>
  <c r="D52" i="8" s="1"/>
  <c r="D50" i="8"/>
  <c r="C50" i="8"/>
  <c r="C46" i="8"/>
  <c r="D46" i="8" s="1"/>
  <c r="D44" i="8"/>
  <c r="C44" i="8"/>
  <c r="C40" i="8"/>
  <c r="D40" i="8" s="1"/>
  <c r="D38" i="8"/>
  <c r="C38" i="8"/>
  <c r="C34" i="8"/>
  <c r="D34" i="8" s="1"/>
  <c r="D32" i="8"/>
  <c r="C32" i="8"/>
  <c r="C28" i="8"/>
  <c r="D28" i="8" s="1"/>
  <c r="D26" i="8"/>
  <c r="C26" i="8"/>
  <c r="C22" i="8"/>
  <c r="D22" i="8" s="1"/>
  <c r="D20" i="8"/>
  <c r="C20" i="8"/>
  <c r="C16" i="8"/>
  <c r="D16" i="8" s="1"/>
  <c r="C15" i="8"/>
  <c r="D15" i="8" s="1"/>
  <c r="D14" i="8"/>
  <c r="C14" i="8"/>
  <c r="C10" i="8"/>
  <c r="D10" i="8" s="1"/>
  <c r="C9" i="8"/>
  <c r="D9" i="8" s="1"/>
  <c r="C8" i="8"/>
  <c r="D8" i="8" s="1"/>
  <c r="C4" i="8"/>
  <c r="D4" i="8" s="1"/>
  <c r="C3" i="8"/>
  <c r="D3" i="8" s="1"/>
  <c r="C2" i="8"/>
  <c r="D2" i="8" s="1"/>
  <c r="C21" i="8" l="1"/>
  <c r="D21" i="8" s="1"/>
  <c r="C27" i="8"/>
  <c r="D27" i="8" s="1"/>
  <c r="C33" i="8"/>
  <c r="D33" i="8" s="1"/>
  <c r="C39" i="8"/>
  <c r="D39" i="8" s="1"/>
  <c r="C45" i="8"/>
  <c r="D45" i="8" s="1"/>
  <c r="C51" i="8"/>
  <c r="D51" i="8" s="1"/>
  <c r="C57" i="8"/>
  <c r="D57" i="8" s="1"/>
  <c r="C5" i="8"/>
  <c r="D5" i="8" s="1"/>
  <c r="C23" i="8"/>
  <c r="D23" i="8" s="1"/>
  <c r="C41" i="8"/>
  <c r="D41" i="8" s="1"/>
  <c r="C53" i="8"/>
  <c r="D53" i="8" s="1"/>
  <c r="C6" i="8"/>
  <c r="D6" i="8" s="1"/>
  <c r="C12" i="8"/>
  <c r="D12" i="8" s="1"/>
  <c r="C18" i="8"/>
  <c r="D18" i="8" s="1"/>
  <c r="C24" i="8"/>
  <c r="D24" i="8" s="1"/>
  <c r="C30" i="8"/>
  <c r="D30" i="8" s="1"/>
  <c r="C36" i="8"/>
  <c r="D36" i="8" s="1"/>
  <c r="C42" i="8"/>
  <c r="D42" i="8" s="1"/>
  <c r="C48" i="8"/>
  <c r="D48" i="8" s="1"/>
  <c r="C54" i="8"/>
  <c r="D54" i="8" s="1"/>
  <c r="C60" i="8"/>
  <c r="D60" i="8" s="1"/>
  <c r="C17" i="8"/>
  <c r="D17" i="8" s="1"/>
  <c r="C35" i="8"/>
  <c r="D35" i="8" s="1"/>
  <c r="C59" i="8"/>
  <c r="D59" i="8" s="1"/>
  <c r="C11" i="8"/>
  <c r="D11" i="8" s="1"/>
  <c r="D62" i="8" s="1"/>
  <c r="D63" i="8" s="1"/>
  <c r="C29" i="8"/>
  <c r="D29" i="8" s="1"/>
  <c r="C47" i="8"/>
  <c r="D47" i="8" s="1"/>
  <c r="C7" i="8"/>
  <c r="D7" i="8" s="1"/>
  <c r="C13" i="8"/>
  <c r="D13" i="8" s="1"/>
  <c r="C19" i="8"/>
  <c r="D19" i="8" s="1"/>
  <c r="C25" i="8"/>
  <c r="D25" i="8" s="1"/>
  <c r="C31" i="8"/>
  <c r="D31" i="8" s="1"/>
  <c r="C37" i="8"/>
  <c r="D37" i="8" s="1"/>
  <c r="C43" i="8"/>
  <c r="D43" i="8" s="1"/>
  <c r="C49" i="8"/>
  <c r="D49" i="8" s="1"/>
  <c r="C55" i="8"/>
  <c r="D55" i="8" s="1"/>
  <c r="A2" i="2" l="1"/>
  <c r="A1" i="2"/>
  <c r="A2" i="1"/>
  <c r="A1" i="1"/>
</calcChain>
</file>

<file path=xl/sharedStrings.xml><?xml version="1.0" encoding="utf-8"?>
<sst xmlns="http://schemas.openxmlformats.org/spreadsheetml/2006/main" count="47" uniqueCount="35">
  <si>
    <t xml:space="preserve">NO   </t>
    <phoneticPr fontId="4"/>
  </si>
  <si>
    <r>
      <rPr>
        <sz val="11"/>
        <color theme="1"/>
        <rFont val="돋움"/>
        <family val="3"/>
        <charset val="129"/>
      </rPr>
      <t>연령</t>
    </r>
    <r>
      <rPr>
        <sz val="11"/>
        <color theme="1"/>
        <rFont val="Arial"/>
        <family val="2"/>
      </rPr>
      <t/>
    </r>
    <phoneticPr fontId="4"/>
  </si>
  <si>
    <t xml:space="preserve">NO   </t>
  </si>
  <si>
    <t>연령의 편차</t>
    <phoneticPr fontId="4"/>
  </si>
  <si>
    <r>
      <rPr>
        <sz val="11"/>
        <color theme="1"/>
        <rFont val="돋움"/>
        <family val="3"/>
        <charset val="129"/>
      </rPr>
      <t>편차</t>
    </r>
    <r>
      <rPr>
        <sz val="11"/>
        <color theme="1"/>
        <rFont val="돋움"/>
        <family val="3"/>
        <charset val="129"/>
      </rPr>
      <t>제곱</t>
    </r>
    <phoneticPr fontId="4"/>
  </si>
  <si>
    <t>평균</t>
    <phoneticPr fontId="4"/>
  </si>
  <si>
    <t>편차제곱합</t>
    <phoneticPr fontId="4"/>
  </si>
  <si>
    <t>표본분산</t>
    <phoneticPr fontId="4"/>
  </si>
  <si>
    <t>표본표준편차</t>
    <phoneticPr fontId="4"/>
  </si>
  <si>
    <t>합계</t>
    <phoneticPr fontId="1" type="noConversion"/>
  </si>
  <si>
    <t>평균</t>
  </si>
  <si>
    <t>평균</t>
    <phoneticPr fontId="1" type="noConversion"/>
  </si>
  <si>
    <t>연령의 편차</t>
    <phoneticPr fontId="1" type="noConversion"/>
  </si>
  <si>
    <t>편차의 제곱</t>
    <phoneticPr fontId="1" type="noConversion"/>
  </si>
  <si>
    <t>편차제곱합</t>
    <phoneticPr fontId="1" type="noConversion"/>
  </si>
  <si>
    <t>표본분산</t>
    <phoneticPr fontId="1" type="noConversion"/>
  </si>
  <si>
    <t>표본표준편차</t>
    <phoneticPr fontId="1" type="noConversion"/>
  </si>
  <si>
    <t>1 사분위</t>
    <phoneticPr fontId="1" type="noConversion"/>
  </si>
  <si>
    <t>3 사분위</t>
    <phoneticPr fontId="1" type="noConversion"/>
  </si>
  <si>
    <t>IQR</t>
    <phoneticPr fontId="1" type="noConversion"/>
  </si>
  <si>
    <t>상한값</t>
    <phoneticPr fontId="1" type="noConversion"/>
  </si>
  <si>
    <t>하한값</t>
    <phoneticPr fontId="1" type="noConversion"/>
  </si>
  <si>
    <t>연령</t>
  </si>
  <si>
    <t>표준 오차</t>
  </si>
  <si>
    <t>중앙값</t>
  </si>
  <si>
    <t>최빈값</t>
  </si>
  <si>
    <t>표준 편차</t>
  </si>
  <si>
    <t>분산</t>
  </si>
  <si>
    <t>첨도</t>
  </si>
  <si>
    <t>왜도</t>
  </si>
  <si>
    <t>범위</t>
  </si>
  <si>
    <t>최소값</t>
  </si>
  <si>
    <t>최대값</t>
  </si>
  <si>
    <t>합</t>
  </si>
  <si>
    <t>관측수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</si>
</sst>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00_ "/>
    <numFmt numFmtId="178" formatCode="0.00000_ 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Arial"/>
      <family val="2"/>
    </font>
    <font>
      <sz val="6"/>
      <name val="맑은 고딕"/>
      <family val="2"/>
      <charset val="128"/>
      <scheme val="minor"/>
    </font>
    <font>
      <sz val="11"/>
      <color theme="1"/>
      <name val="Arial"/>
      <family val="3"/>
      <charset val="129"/>
    </font>
    <font>
      <sz val="11"/>
      <color theme="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3" fillId="0" borderId="1" xfId="1" applyFont="1" applyBorder="1">
      <alignment vertical="center"/>
    </xf>
    <xf numFmtId="0" fontId="6" fillId="0" borderId="1" xfId="1" applyFont="1" applyBorder="1" applyAlignment="1">
      <alignment horizontal="center" vertical="center" wrapText="1"/>
    </xf>
    <xf numFmtId="176" fontId="3" fillId="0" borderId="1" xfId="1" applyNumberFormat="1" applyFont="1" applyBorder="1">
      <alignment vertical="center"/>
    </xf>
    <xf numFmtId="177" fontId="3" fillId="0" borderId="1" xfId="1" applyNumberFormat="1" applyFont="1" applyBorder="1">
      <alignment vertical="center"/>
    </xf>
    <xf numFmtId="0" fontId="0" fillId="0" borderId="1" xfId="0" applyBorder="1">
      <alignment vertical="center"/>
    </xf>
    <xf numFmtId="2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>
      <alignment vertical="center"/>
    </xf>
    <xf numFmtId="178" fontId="3" fillId="0" borderId="1" xfId="1" applyNumberFormat="1" applyFont="1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ont="1" applyFill="1" applyBorder="1" applyAlignment="1">
      <alignment horizontal="centerContinuous" vertical="center"/>
    </xf>
  </cellXfs>
  <cellStyles count="2">
    <cellStyle name="표준" xfId="0" builtinId="0"/>
    <cellStyle name="標準 3" xfId="1" xr:uid="{42CF878D-4EC1-42E5-A38A-F5D56309C3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F8237-DDA9-41EE-BC60-F8781AB9EB5C}">
  <dimension ref="A1:A2"/>
  <sheetViews>
    <sheetView workbookViewId="0">
      <selection activeCell="G10" sqref="G10"/>
    </sheetView>
  </sheetViews>
  <sheetFormatPr defaultRowHeight="16.5" x14ac:dyDescent="0.3"/>
  <sheetData>
    <row r="1" spans="1:1" x14ac:dyDescent="0.3">
      <c r="A1">
        <f>COMBIN(4,2)</f>
        <v>6</v>
      </c>
    </row>
    <row r="2" spans="1:1" x14ac:dyDescent="0.3">
      <c r="A2">
        <f>COMBIN(4,3)</f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A1197-794D-4A33-9A4F-D887972377D7}">
  <dimension ref="A1:A2"/>
  <sheetViews>
    <sheetView workbookViewId="0">
      <selection activeCell="Q18" sqref="Q18"/>
    </sheetView>
  </sheetViews>
  <sheetFormatPr defaultRowHeight="16.5" x14ac:dyDescent="0.3"/>
  <sheetData>
    <row r="1" spans="1:1" x14ac:dyDescent="0.3">
      <c r="A1">
        <f ca="1" xml:space="preserve"> RANDBETWEEN(1,50)</f>
        <v>27</v>
      </c>
    </row>
    <row r="2" spans="1:1" x14ac:dyDescent="0.3">
      <c r="A2">
        <f ca="1">RANDBETWEEN(1,50)</f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8772A-D610-410E-A4C3-C41D6AEF5192}">
  <dimension ref="A1:B63"/>
  <sheetViews>
    <sheetView topLeftCell="A33" workbookViewId="0">
      <selection activeCell="B63" sqref="B63"/>
    </sheetView>
  </sheetViews>
  <sheetFormatPr defaultRowHeight="16.5" x14ac:dyDescent="0.3"/>
  <sheetData>
    <row r="1" spans="1:2" x14ac:dyDescent="0.3">
      <c r="A1" s="1" t="s">
        <v>0</v>
      </c>
      <c r="B1" s="2" t="s">
        <v>1</v>
      </c>
    </row>
    <row r="2" spans="1:2" x14ac:dyDescent="0.3">
      <c r="A2" s="3">
        <v>1</v>
      </c>
      <c r="B2" s="3">
        <v>41</v>
      </c>
    </row>
    <row r="3" spans="1:2" x14ac:dyDescent="0.3">
      <c r="A3" s="3">
        <v>2</v>
      </c>
      <c r="B3" s="3">
        <v>30</v>
      </c>
    </row>
    <row r="4" spans="1:2" x14ac:dyDescent="0.3">
      <c r="A4" s="3">
        <v>3</v>
      </c>
      <c r="B4" s="3">
        <v>44</v>
      </c>
    </row>
    <row r="5" spans="1:2" x14ac:dyDescent="0.3">
      <c r="A5" s="3">
        <v>4</v>
      </c>
      <c r="B5" s="3">
        <v>54</v>
      </c>
    </row>
    <row r="6" spans="1:2" x14ac:dyDescent="0.3">
      <c r="A6" s="3">
        <v>5</v>
      </c>
      <c r="B6" s="3">
        <v>57</v>
      </c>
    </row>
    <row r="7" spans="1:2" x14ac:dyDescent="0.3">
      <c r="A7" s="3">
        <v>6</v>
      </c>
      <c r="B7" s="3">
        <v>48</v>
      </c>
    </row>
    <row r="8" spans="1:2" x14ac:dyDescent="0.3">
      <c r="A8" s="3">
        <v>7</v>
      </c>
      <c r="B8" s="3">
        <v>53</v>
      </c>
    </row>
    <row r="9" spans="1:2" x14ac:dyDescent="0.3">
      <c r="A9" s="3">
        <v>8</v>
      </c>
      <c r="B9" s="3">
        <v>35</v>
      </c>
    </row>
    <row r="10" spans="1:2" x14ac:dyDescent="0.3">
      <c r="A10" s="3">
        <v>9</v>
      </c>
      <c r="B10" s="3">
        <v>38</v>
      </c>
    </row>
    <row r="11" spans="1:2" x14ac:dyDescent="0.3">
      <c r="A11" s="3">
        <v>10</v>
      </c>
      <c r="B11" s="3">
        <v>46</v>
      </c>
    </row>
    <row r="12" spans="1:2" x14ac:dyDescent="0.3">
      <c r="A12" s="3">
        <v>11</v>
      </c>
      <c r="B12" s="3">
        <v>46</v>
      </c>
    </row>
    <row r="13" spans="1:2" x14ac:dyDescent="0.3">
      <c r="A13" s="3">
        <v>12</v>
      </c>
      <c r="B13" s="3">
        <v>35</v>
      </c>
    </row>
    <row r="14" spans="1:2" x14ac:dyDescent="0.3">
      <c r="A14" s="3">
        <v>13</v>
      </c>
      <c r="B14" s="3">
        <v>54</v>
      </c>
    </row>
    <row r="15" spans="1:2" x14ac:dyDescent="0.3">
      <c r="A15" s="3">
        <v>14</v>
      </c>
      <c r="B15" s="3">
        <v>58</v>
      </c>
    </row>
    <row r="16" spans="1:2" x14ac:dyDescent="0.3">
      <c r="A16" s="3">
        <v>15</v>
      </c>
      <c r="B16" s="3">
        <v>52</v>
      </c>
    </row>
    <row r="17" spans="1:2" x14ac:dyDescent="0.3">
      <c r="A17" s="3">
        <v>16</v>
      </c>
      <c r="B17" s="3">
        <v>35</v>
      </c>
    </row>
    <row r="18" spans="1:2" x14ac:dyDescent="0.3">
      <c r="A18" s="3">
        <v>17</v>
      </c>
      <c r="B18" s="3">
        <v>42</v>
      </c>
    </row>
    <row r="19" spans="1:2" x14ac:dyDescent="0.3">
      <c r="A19" s="3">
        <v>18</v>
      </c>
      <c r="B19" s="3">
        <v>57</v>
      </c>
    </row>
    <row r="20" spans="1:2" x14ac:dyDescent="0.3">
      <c r="A20" s="3">
        <v>19</v>
      </c>
      <c r="B20" s="3">
        <v>43</v>
      </c>
    </row>
    <row r="21" spans="1:2" x14ac:dyDescent="0.3">
      <c r="A21" s="3">
        <v>20</v>
      </c>
      <c r="B21" s="3">
        <v>52</v>
      </c>
    </row>
    <row r="22" spans="1:2" x14ac:dyDescent="0.3">
      <c r="A22" s="3">
        <v>21</v>
      </c>
      <c r="B22" s="3">
        <v>48</v>
      </c>
    </row>
    <row r="23" spans="1:2" x14ac:dyDescent="0.3">
      <c r="A23" s="3">
        <v>22</v>
      </c>
      <c r="B23" s="3">
        <v>56</v>
      </c>
    </row>
    <row r="24" spans="1:2" x14ac:dyDescent="0.3">
      <c r="A24" s="3">
        <v>23</v>
      </c>
      <c r="B24" s="3">
        <v>51</v>
      </c>
    </row>
    <row r="25" spans="1:2" x14ac:dyDescent="0.3">
      <c r="A25" s="3">
        <v>24</v>
      </c>
      <c r="B25" s="3">
        <v>35</v>
      </c>
    </row>
    <row r="26" spans="1:2" x14ac:dyDescent="0.3">
      <c r="A26" s="3">
        <v>25</v>
      </c>
      <c r="B26" s="3">
        <v>50</v>
      </c>
    </row>
    <row r="27" spans="1:2" x14ac:dyDescent="0.3">
      <c r="A27" s="3">
        <v>26</v>
      </c>
      <c r="B27" s="3">
        <v>37</v>
      </c>
    </row>
    <row r="28" spans="1:2" x14ac:dyDescent="0.3">
      <c r="A28" s="3">
        <v>27</v>
      </c>
      <c r="B28" s="3">
        <v>34</v>
      </c>
    </row>
    <row r="29" spans="1:2" x14ac:dyDescent="0.3">
      <c r="A29" s="3">
        <v>28</v>
      </c>
      <c r="B29" s="3">
        <v>54</v>
      </c>
    </row>
    <row r="30" spans="1:2" x14ac:dyDescent="0.3">
      <c r="A30" s="3">
        <v>29</v>
      </c>
      <c r="B30" s="3">
        <v>40</v>
      </c>
    </row>
    <row r="31" spans="1:2" x14ac:dyDescent="0.3">
      <c r="A31" s="3">
        <v>30</v>
      </c>
      <c r="B31" s="3">
        <v>37</v>
      </c>
    </row>
    <row r="32" spans="1:2" x14ac:dyDescent="0.3">
      <c r="A32" s="3">
        <v>31</v>
      </c>
      <c r="B32" s="3">
        <v>46</v>
      </c>
    </row>
    <row r="33" spans="1:2" x14ac:dyDescent="0.3">
      <c r="A33" s="3">
        <v>32</v>
      </c>
      <c r="B33" s="3">
        <v>54</v>
      </c>
    </row>
    <row r="34" spans="1:2" x14ac:dyDescent="0.3">
      <c r="A34" s="3">
        <v>33</v>
      </c>
      <c r="B34" s="3">
        <v>42</v>
      </c>
    </row>
    <row r="35" spans="1:2" x14ac:dyDescent="0.3">
      <c r="A35" s="3">
        <v>34</v>
      </c>
      <c r="B35" s="3">
        <v>31</v>
      </c>
    </row>
    <row r="36" spans="1:2" x14ac:dyDescent="0.3">
      <c r="A36" s="3">
        <v>35</v>
      </c>
      <c r="B36" s="3">
        <v>33</v>
      </c>
    </row>
    <row r="37" spans="1:2" x14ac:dyDescent="0.3">
      <c r="A37" s="3">
        <v>36</v>
      </c>
      <c r="B37" s="3">
        <v>47</v>
      </c>
    </row>
    <row r="38" spans="1:2" x14ac:dyDescent="0.3">
      <c r="A38" s="3">
        <v>37</v>
      </c>
      <c r="B38" s="3">
        <v>52</v>
      </c>
    </row>
    <row r="39" spans="1:2" x14ac:dyDescent="0.3">
      <c r="A39" s="3">
        <v>38</v>
      </c>
      <c r="B39" s="3">
        <v>39</v>
      </c>
    </row>
    <row r="40" spans="1:2" x14ac:dyDescent="0.3">
      <c r="A40" s="3">
        <v>39</v>
      </c>
      <c r="B40" s="3">
        <v>43</v>
      </c>
    </row>
    <row r="41" spans="1:2" x14ac:dyDescent="0.3">
      <c r="A41" s="3">
        <v>40</v>
      </c>
      <c r="B41" s="3">
        <v>55</v>
      </c>
    </row>
    <row r="42" spans="1:2" x14ac:dyDescent="0.3">
      <c r="A42" s="3">
        <v>41</v>
      </c>
      <c r="B42" s="3">
        <v>47</v>
      </c>
    </row>
    <row r="43" spans="1:2" x14ac:dyDescent="0.3">
      <c r="A43" s="3">
        <v>42</v>
      </c>
      <c r="B43" s="3">
        <v>38</v>
      </c>
    </row>
    <row r="44" spans="1:2" x14ac:dyDescent="0.3">
      <c r="A44" s="3">
        <v>43</v>
      </c>
      <c r="B44" s="3">
        <v>30</v>
      </c>
    </row>
    <row r="45" spans="1:2" x14ac:dyDescent="0.3">
      <c r="A45" s="3">
        <v>44</v>
      </c>
      <c r="B45" s="3">
        <v>54</v>
      </c>
    </row>
    <row r="46" spans="1:2" x14ac:dyDescent="0.3">
      <c r="A46" s="3">
        <v>45</v>
      </c>
      <c r="B46" s="3">
        <v>38</v>
      </c>
    </row>
    <row r="47" spans="1:2" x14ac:dyDescent="0.3">
      <c r="A47" s="3">
        <v>46</v>
      </c>
      <c r="B47" s="3">
        <v>35</v>
      </c>
    </row>
    <row r="48" spans="1:2" x14ac:dyDescent="0.3">
      <c r="A48" s="3">
        <v>47</v>
      </c>
      <c r="B48" s="3">
        <v>35</v>
      </c>
    </row>
    <row r="49" spans="1:2" x14ac:dyDescent="0.3">
      <c r="A49" s="3">
        <v>48</v>
      </c>
      <c r="B49" s="3">
        <v>59</v>
      </c>
    </row>
    <row r="50" spans="1:2" x14ac:dyDescent="0.3">
      <c r="A50" s="3">
        <v>49</v>
      </c>
      <c r="B50" s="3">
        <v>39</v>
      </c>
    </row>
    <row r="51" spans="1:2" x14ac:dyDescent="0.3">
      <c r="A51" s="3">
        <v>50</v>
      </c>
      <c r="B51" s="3">
        <v>42</v>
      </c>
    </row>
    <row r="52" spans="1:2" x14ac:dyDescent="0.3">
      <c r="A52" s="3">
        <v>51</v>
      </c>
      <c r="B52" s="3">
        <v>48</v>
      </c>
    </row>
    <row r="53" spans="1:2" x14ac:dyDescent="0.3">
      <c r="A53" s="3">
        <v>52</v>
      </c>
      <c r="B53" s="3">
        <v>59</v>
      </c>
    </row>
    <row r="54" spans="1:2" x14ac:dyDescent="0.3">
      <c r="A54" s="3">
        <v>53</v>
      </c>
      <c r="B54" s="3">
        <v>52</v>
      </c>
    </row>
    <row r="55" spans="1:2" x14ac:dyDescent="0.3">
      <c r="A55" s="3">
        <v>54</v>
      </c>
      <c r="B55" s="3">
        <v>59</v>
      </c>
    </row>
    <row r="56" spans="1:2" x14ac:dyDescent="0.3">
      <c r="A56" s="3">
        <v>55</v>
      </c>
      <c r="B56" s="3">
        <v>39</v>
      </c>
    </row>
    <row r="57" spans="1:2" x14ac:dyDescent="0.3">
      <c r="A57" s="3">
        <v>56</v>
      </c>
      <c r="B57" s="3">
        <v>45</v>
      </c>
    </row>
    <row r="58" spans="1:2" x14ac:dyDescent="0.3">
      <c r="A58" s="3">
        <v>57</v>
      </c>
      <c r="B58" s="3">
        <v>46</v>
      </c>
    </row>
    <row r="59" spans="1:2" x14ac:dyDescent="0.3">
      <c r="A59" s="3">
        <v>58</v>
      </c>
      <c r="B59" s="3">
        <v>36</v>
      </c>
    </row>
    <row r="60" spans="1:2" x14ac:dyDescent="0.3">
      <c r="A60" s="3">
        <v>59</v>
      </c>
      <c r="B60" s="3">
        <v>40</v>
      </c>
    </row>
    <row r="61" spans="1:2" x14ac:dyDescent="0.3">
      <c r="A61" s="3">
        <v>60</v>
      </c>
      <c r="B61" s="3">
        <v>40</v>
      </c>
    </row>
    <row r="62" spans="1:2" x14ac:dyDescent="0.3">
      <c r="A62" t="s">
        <v>9</v>
      </c>
      <c r="B62">
        <f>SUM(B2:B61)</f>
        <v>2685</v>
      </c>
    </row>
    <row r="63" spans="1:2" x14ac:dyDescent="0.3">
      <c r="A63" t="s">
        <v>11</v>
      </c>
      <c r="B63">
        <f>B62/COUNT(B2:B61)</f>
        <v>44.75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998C-BD89-480E-A955-0B7F1A8F4889}">
  <dimension ref="A1:B62"/>
  <sheetViews>
    <sheetView topLeftCell="A32" workbookViewId="0">
      <selection activeCell="F55" sqref="F55"/>
    </sheetView>
  </sheetViews>
  <sheetFormatPr defaultRowHeight="16.5" x14ac:dyDescent="0.3"/>
  <sheetData>
    <row r="1" spans="1:2" x14ac:dyDescent="0.3">
      <c r="A1" s="1" t="s">
        <v>2</v>
      </c>
      <c r="B1" s="2" t="s">
        <v>1</v>
      </c>
    </row>
    <row r="2" spans="1:2" x14ac:dyDescent="0.3">
      <c r="A2" s="3">
        <v>2</v>
      </c>
      <c r="B2" s="3">
        <v>30</v>
      </c>
    </row>
    <row r="3" spans="1:2" x14ac:dyDescent="0.3">
      <c r="A3" s="3">
        <v>43</v>
      </c>
      <c r="B3" s="3">
        <v>30</v>
      </c>
    </row>
    <row r="4" spans="1:2" x14ac:dyDescent="0.3">
      <c r="A4" s="3">
        <v>34</v>
      </c>
      <c r="B4" s="3">
        <v>31</v>
      </c>
    </row>
    <row r="5" spans="1:2" x14ac:dyDescent="0.3">
      <c r="A5" s="3">
        <v>35</v>
      </c>
      <c r="B5" s="3">
        <v>33</v>
      </c>
    </row>
    <row r="6" spans="1:2" x14ac:dyDescent="0.3">
      <c r="A6" s="3">
        <v>27</v>
      </c>
      <c r="B6" s="3">
        <v>34</v>
      </c>
    </row>
    <row r="7" spans="1:2" x14ac:dyDescent="0.3">
      <c r="A7" s="3">
        <v>8</v>
      </c>
      <c r="B7" s="3">
        <v>35</v>
      </c>
    </row>
    <row r="8" spans="1:2" x14ac:dyDescent="0.3">
      <c r="A8" s="3">
        <v>12</v>
      </c>
      <c r="B8" s="3">
        <v>35</v>
      </c>
    </row>
    <row r="9" spans="1:2" x14ac:dyDescent="0.3">
      <c r="A9" s="3">
        <v>16</v>
      </c>
      <c r="B9" s="3">
        <v>35</v>
      </c>
    </row>
    <row r="10" spans="1:2" x14ac:dyDescent="0.3">
      <c r="A10" s="3">
        <v>24</v>
      </c>
      <c r="B10" s="3">
        <v>35</v>
      </c>
    </row>
    <row r="11" spans="1:2" x14ac:dyDescent="0.3">
      <c r="A11" s="3">
        <v>46</v>
      </c>
      <c r="B11" s="3">
        <v>35</v>
      </c>
    </row>
    <row r="12" spans="1:2" x14ac:dyDescent="0.3">
      <c r="A12" s="3">
        <v>47</v>
      </c>
      <c r="B12" s="3">
        <v>35</v>
      </c>
    </row>
    <row r="13" spans="1:2" x14ac:dyDescent="0.3">
      <c r="A13" s="3">
        <v>58</v>
      </c>
      <c r="B13" s="3">
        <v>36</v>
      </c>
    </row>
    <row r="14" spans="1:2" x14ac:dyDescent="0.3">
      <c r="A14" s="3">
        <v>26</v>
      </c>
      <c r="B14" s="3">
        <v>37</v>
      </c>
    </row>
    <row r="15" spans="1:2" x14ac:dyDescent="0.3">
      <c r="A15" s="3">
        <v>30</v>
      </c>
      <c r="B15" s="3">
        <v>37</v>
      </c>
    </row>
    <row r="16" spans="1:2" x14ac:dyDescent="0.3">
      <c r="A16" s="3">
        <v>9</v>
      </c>
      <c r="B16" s="3">
        <v>38</v>
      </c>
    </row>
    <row r="17" spans="1:2" x14ac:dyDescent="0.3">
      <c r="A17" s="3">
        <v>42</v>
      </c>
      <c r="B17" s="3">
        <v>38</v>
      </c>
    </row>
    <row r="18" spans="1:2" x14ac:dyDescent="0.3">
      <c r="A18" s="3">
        <v>45</v>
      </c>
      <c r="B18" s="3">
        <v>38</v>
      </c>
    </row>
    <row r="19" spans="1:2" x14ac:dyDescent="0.3">
      <c r="A19" s="3">
        <v>38</v>
      </c>
      <c r="B19" s="3">
        <v>39</v>
      </c>
    </row>
    <row r="20" spans="1:2" x14ac:dyDescent="0.3">
      <c r="A20" s="3">
        <v>49</v>
      </c>
      <c r="B20" s="3">
        <v>39</v>
      </c>
    </row>
    <row r="21" spans="1:2" x14ac:dyDescent="0.3">
      <c r="A21" s="3">
        <v>55</v>
      </c>
      <c r="B21" s="3">
        <v>39</v>
      </c>
    </row>
    <row r="22" spans="1:2" x14ac:dyDescent="0.3">
      <c r="A22" s="3">
        <v>29</v>
      </c>
      <c r="B22" s="3">
        <v>40</v>
      </c>
    </row>
    <row r="23" spans="1:2" x14ac:dyDescent="0.3">
      <c r="A23" s="3">
        <v>59</v>
      </c>
      <c r="B23" s="3">
        <v>40</v>
      </c>
    </row>
    <row r="24" spans="1:2" x14ac:dyDescent="0.3">
      <c r="A24" s="3">
        <v>60</v>
      </c>
      <c r="B24" s="3">
        <v>40</v>
      </c>
    </row>
    <row r="25" spans="1:2" x14ac:dyDescent="0.3">
      <c r="A25" s="3">
        <v>1</v>
      </c>
      <c r="B25" s="3">
        <v>41</v>
      </c>
    </row>
    <row r="26" spans="1:2" x14ac:dyDescent="0.3">
      <c r="A26" s="3">
        <v>17</v>
      </c>
      <c r="B26" s="3">
        <v>42</v>
      </c>
    </row>
    <row r="27" spans="1:2" x14ac:dyDescent="0.3">
      <c r="A27" s="3">
        <v>33</v>
      </c>
      <c r="B27" s="3">
        <v>42</v>
      </c>
    </row>
    <row r="28" spans="1:2" x14ac:dyDescent="0.3">
      <c r="A28" s="3">
        <v>50</v>
      </c>
      <c r="B28" s="3">
        <v>42</v>
      </c>
    </row>
    <row r="29" spans="1:2" x14ac:dyDescent="0.3">
      <c r="A29" s="3">
        <v>19</v>
      </c>
      <c r="B29" s="3">
        <v>43</v>
      </c>
    </row>
    <row r="30" spans="1:2" x14ac:dyDescent="0.3">
      <c r="A30" s="3">
        <v>39</v>
      </c>
      <c r="B30" s="3">
        <v>43</v>
      </c>
    </row>
    <row r="31" spans="1:2" x14ac:dyDescent="0.3">
      <c r="A31" s="3">
        <v>3</v>
      </c>
      <c r="B31" s="3">
        <v>44</v>
      </c>
    </row>
    <row r="32" spans="1:2" x14ac:dyDescent="0.3">
      <c r="A32" s="3">
        <v>56</v>
      </c>
      <c r="B32" s="3">
        <v>45</v>
      </c>
    </row>
    <row r="33" spans="1:2" x14ac:dyDescent="0.3">
      <c r="A33" s="3">
        <v>10</v>
      </c>
      <c r="B33" s="3">
        <v>46</v>
      </c>
    </row>
    <row r="34" spans="1:2" x14ac:dyDescent="0.3">
      <c r="A34" s="3">
        <v>11</v>
      </c>
      <c r="B34" s="3">
        <v>46</v>
      </c>
    </row>
    <row r="35" spans="1:2" x14ac:dyDescent="0.3">
      <c r="A35" s="3">
        <v>31</v>
      </c>
      <c r="B35" s="3">
        <v>46</v>
      </c>
    </row>
    <row r="36" spans="1:2" x14ac:dyDescent="0.3">
      <c r="A36" s="3">
        <v>57</v>
      </c>
      <c r="B36" s="3">
        <v>46</v>
      </c>
    </row>
    <row r="37" spans="1:2" x14ac:dyDescent="0.3">
      <c r="A37" s="3">
        <v>36</v>
      </c>
      <c r="B37" s="3">
        <v>47</v>
      </c>
    </row>
    <row r="38" spans="1:2" x14ac:dyDescent="0.3">
      <c r="A38" s="3">
        <v>41</v>
      </c>
      <c r="B38" s="3">
        <v>47</v>
      </c>
    </row>
    <row r="39" spans="1:2" x14ac:dyDescent="0.3">
      <c r="A39" s="3">
        <v>6</v>
      </c>
      <c r="B39" s="3">
        <v>48</v>
      </c>
    </row>
    <row r="40" spans="1:2" x14ac:dyDescent="0.3">
      <c r="A40" s="3">
        <v>21</v>
      </c>
      <c r="B40" s="3">
        <v>48</v>
      </c>
    </row>
    <row r="41" spans="1:2" x14ac:dyDescent="0.3">
      <c r="A41" s="3">
        <v>51</v>
      </c>
      <c r="B41" s="3">
        <v>48</v>
      </c>
    </row>
    <row r="42" spans="1:2" x14ac:dyDescent="0.3">
      <c r="A42" s="3">
        <v>25</v>
      </c>
      <c r="B42" s="3">
        <v>50</v>
      </c>
    </row>
    <row r="43" spans="1:2" x14ac:dyDescent="0.3">
      <c r="A43" s="3">
        <v>23</v>
      </c>
      <c r="B43" s="3">
        <v>51</v>
      </c>
    </row>
    <row r="44" spans="1:2" x14ac:dyDescent="0.3">
      <c r="A44" s="3">
        <v>15</v>
      </c>
      <c r="B44" s="3">
        <v>52</v>
      </c>
    </row>
    <row r="45" spans="1:2" x14ac:dyDescent="0.3">
      <c r="A45" s="3">
        <v>20</v>
      </c>
      <c r="B45" s="3">
        <v>52</v>
      </c>
    </row>
    <row r="46" spans="1:2" x14ac:dyDescent="0.3">
      <c r="A46" s="3">
        <v>37</v>
      </c>
      <c r="B46" s="3">
        <v>52</v>
      </c>
    </row>
    <row r="47" spans="1:2" x14ac:dyDescent="0.3">
      <c r="A47" s="3">
        <v>53</v>
      </c>
      <c r="B47" s="3">
        <v>52</v>
      </c>
    </row>
    <row r="48" spans="1:2" x14ac:dyDescent="0.3">
      <c r="A48" s="3">
        <v>7</v>
      </c>
      <c r="B48" s="3">
        <v>53</v>
      </c>
    </row>
    <row r="49" spans="1:2" x14ac:dyDescent="0.3">
      <c r="A49" s="3">
        <v>4</v>
      </c>
      <c r="B49" s="3">
        <v>54</v>
      </c>
    </row>
    <row r="50" spans="1:2" x14ac:dyDescent="0.3">
      <c r="A50" s="3">
        <v>13</v>
      </c>
      <c r="B50" s="3">
        <v>54</v>
      </c>
    </row>
    <row r="51" spans="1:2" x14ac:dyDescent="0.3">
      <c r="A51" s="3">
        <v>28</v>
      </c>
      <c r="B51" s="3">
        <v>54</v>
      </c>
    </row>
    <row r="52" spans="1:2" x14ac:dyDescent="0.3">
      <c r="A52" s="3">
        <v>32</v>
      </c>
      <c r="B52" s="3">
        <v>54</v>
      </c>
    </row>
    <row r="53" spans="1:2" x14ac:dyDescent="0.3">
      <c r="A53" s="3">
        <v>44</v>
      </c>
      <c r="B53" s="3">
        <v>54</v>
      </c>
    </row>
    <row r="54" spans="1:2" x14ac:dyDescent="0.3">
      <c r="A54" s="3">
        <v>40</v>
      </c>
      <c r="B54" s="3">
        <v>55</v>
      </c>
    </row>
    <row r="55" spans="1:2" x14ac:dyDescent="0.3">
      <c r="A55" s="3">
        <v>22</v>
      </c>
      <c r="B55" s="3">
        <v>56</v>
      </c>
    </row>
    <row r="56" spans="1:2" x14ac:dyDescent="0.3">
      <c r="A56" s="3">
        <v>5</v>
      </c>
      <c r="B56" s="3">
        <v>57</v>
      </c>
    </row>
    <row r="57" spans="1:2" x14ac:dyDescent="0.3">
      <c r="A57" s="3">
        <v>18</v>
      </c>
      <c r="B57" s="3">
        <v>57</v>
      </c>
    </row>
    <row r="58" spans="1:2" x14ac:dyDescent="0.3">
      <c r="A58" s="3">
        <v>14</v>
      </c>
      <c r="B58" s="3">
        <v>58</v>
      </c>
    </row>
    <row r="59" spans="1:2" x14ac:dyDescent="0.3">
      <c r="A59" s="3">
        <v>48</v>
      </c>
      <c r="B59" s="3">
        <v>59</v>
      </c>
    </row>
    <row r="60" spans="1:2" x14ac:dyDescent="0.3">
      <c r="A60" s="3">
        <v>52</v>
      </c>
      <c r="B60" s="3">
        <v>59</v>
      </c>
    </row>
    <row r="61" spans="1:2" x14ac:dyDescent="0.3">
      <c r="A61" s="3">
        <v>54</v>
      </c>
      <c r="B61" s="3">
        <v>59</v>
      </c>
    </row>
    <row r="62" spans="1:2" x14ac:dyDescent="0.3">
      <c r="B62">
        <f>MEDIAN(B2:B61)</f>
        <v>44.5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D073-62DB-4079-879E-66A710343FCF}">
  <dimension ref="A1:B62"/>
  <sheetViews>
    <sheetView topLeftCell="A32" workbookViewId="0">
      <selection activeCell="B62" sqref="B62"/>
    </sheetView>
  </sheetViews>
  <sheetFormatPr defaultRowHeight="16.5" x14ac:dyDescent="0.3"/>
  <sheetData>
    <row r="1" spans="1:2" x14ac:dyDescent="0.3">
      <c r="A1" s="1" t="s">
        <v>0</v>
      </c>
      <c r="B1" s="2" t="s">
        <v>1</v>
      </c>
    </row>
    <row r="2" spans="1:2" x14ac:dyDescent="0.3">
      <c r="A2" s="3">
        <v>1</v>
      </c>
      <c r="B2" s="3">
        <v>41</v>
      </c>
    </row>
    <row r="3" spans="1:2" x14ac:dyDescent="0.3">
      <c r="A3" s="3">
        <v>2</v>
      </c>
      <c r="B3" s="3">
        <v>30</v>
      </c>
    </row>
    <row r="4" spans="1:2" x14ac:dyDescent="0.3">
      <c r="A4" s="3">
        <v>3</v>
      </c>
      <c r="B4" s="3">
        <v>44</v>
      </c>
    </row>
    <row r="5" spans="1:2" x14ac:dyDescent="0.3">
      <c r="A5" s="3">
        <v>4</v>
      </c>
      <c r="B5" s="3">
        <v>54</v>
      </c>
    </row>
    <row r="6" spans="1:2" x14ac:dyDescent="0.3">
      <c r="A6" s="3">
        <v>5</v>
      </c>
      <c r="B6" s="3">
        <v>57</v>
      </c>
    </row>
    <row r="7" spans="1:2" x14ac:dyDescent="0.3">
      <c r="A7" s="3">
        <v>6</v>
      </c>
      <c r="B7" s="3">
        <v>48</v>
      </c>
    </row>
    <row r="8" spans="1:2" x14ac:dyDescent="0.3">
      <c r="A8" s="3">
        <v>7</v>
      </c>
      <c r="B8" s="3">
        <v>53</v>
      </c>
    </row>
    <row r="9" spans="1:2" x14ac:dyDescent="0.3">
      <c r="A9" s="3">
        <v>8</v>
      </c>
      <c r="B9" s="3">
        <v>35</v>
      </c>
    </row>
    <row r="10" spans="1:2" x14ac:dyDescent="0.3">
      <c r="A10" s="3">
        <v>9</v>
      </c>
      <c r="B10" s="3">
        <v>38</v>
      </c>
    </row>
    <row r="11" spans="1:2" x14ac:dyDescent="0.3">
      <c r="A11" s="3">
        <v>10</v>
      </c>
      <c r="B11" s="3">
        <v>46</v>
      </c>
    </row>
    <row r="12" spans="1:2" x14ac:dyDescent="0.3">
      <c r="A12" s="3">
        <v>11</v>
      </c>
      <c r="B12" s="3">
        <v>46</v>
      </c>
    </row>
    <row r="13" spans="1:2" x14ac:dyDescent="0.3">
      <c r="A13" s="3">
        <v>12</v>
      </c>
      <c r="B13" s="3">
        <v>35</v>
      </c>
    </row>
    <row r="14" spans="1:2" x14ac:dyDescent="0.3">
      <c r="A14" s="3">
        <v>13</v>
      </c>
      <c r="B14" s="3">
        <v>54</v>
      </c>
    </row>
    <row r="15" spans="1:2" x14ac:dyDescent="0.3">
      <c r="A15" s="3">
        <v>14</v>
      </c>
      <c r="B15" s="3">
        <v>58</v>
      </c>
    </row>
    <row r="16" spans="1:2" x14ac:dyDescent="0.3">
      <c r="A16" s="3">
        <v>15</v>
      </c>
      <c r="B16" s="3">
        <v>52</v>
      </c>
    </row>
    <row r="17" spans="1:2" x14ac:dyDescent="0.3">
      <c r="A17" s="3">
        <v>16</v>
      </c>
      <c r="B17" s="3">
        <v>35</v>
      </c>
    </row>
    <row r="18" spans="1:2" x14ac:dyDescent="0.3">
      <c r="A18" s="3">
        <v>17</v>
      </c>
      <c r="B18" s="3">
        <v>42</v>
      </c>
    </row>
    <row r="19" spans="1:2" x14ac:dyDescent="0.3">
      <c r="A19" s="3">
        <v>18</v>
      </c>
      <c r="B19" s="3">
        <v>57</v>
      </c>
    </row>
    <row r="20" spans="1:2" x14ac:dyDescent="0.3">
      <c r="A20" s="3">
        <v>19</v>
      </c>
      <c r="B20" s="3">
        <v>43</v>
      </c>
    </row>
    <row r="21" spans="1:2" x14ac:dyDescent="0.3">
      <c r="A21" s="3">
        <v>20</v>
      </c>
      <c r="B21" s="3">
        <v>52</v>
      </c>
    </row>
    <row r="22" spans="1:2" x14ac:dyDescent="0.3">
      <c r="A22" s="3">
        <v>21</v>
      </c>
      <c r="B22" s="3">
        <v>48</v>
      </c>
    </row>
    <row r="23" spans="1:2" x14ac:dyDescent="0.3">
      <c r="A23" s="3">
        <v>22</v>
      </c>
      <c r="B23" s="3">
        <v>56</v>
      </c>
    </row>
    <row r="24" spans="1:2" x14ac:dyDescent="0.3">
      <c r="A24" s="3">
        <v>23</v>
      </c>
      <c r="B24" s="3">
        <v>51</v>
      </c>
    </row>
    <row r="25" spans="1:2" x14ac:dyDescent="0.3">
      <c r="A25" s="3">
        <v>24</v>
      </c>
      <c r="B25" s="3">
        <v>35</v>
      </c>
    </row>
    <row r="26" spans="1:2" x14ac:dyDescent="0.3">
      <c r="A26" s="3">
        <v>25</v>
      </c>
      <c r="B26" s="3">
        <v>50</v>
      </c>
    </row>
    <row r="27" spans="1:2" x14ac:dyDescent="0.3">
      <c r="A27" s="3">
        <v>26</v>
      </c>
      <c r="B27" s="3">
        <v>37</v>
      </c>
    </row>
    <row r="28" spans="1:2" x14ac:dyDescent="0.3">
      <c r="A28" s="3">
        <v>27</v>
      </c>
      <c r="B28" s="3">
        <v>34</v>
      </c>
    </row>
    <row r="29" spans="1:2" x14ac:dyDescent="0.3">
      <c r="A29" s="3">
        <v>28</v>
      </c>
      <c r="B29" s="3">
        <v>54</v>
      </c>
    </row>
    <row r="30" spans="1:2" x14ac:dyDescent="0.3">
      <c r="A30" s="3">
        <v>29</v>
      </c>
      <c r="B30" s="3">
        <v>40</v>
      </c>
    </row>
    <row r="31" spans="1:2" x14ac:dyDescent="0.3">
      <c r="A31" s="3">
        <v>30</v>
      </c>
      <c r="B31" s="3">
        <v>37</v>
      </c>
    </row>
    <row r="32" spans="1:2" x14ac:dyDescent="0.3">
      <c r="A32" s="3">
        <v>31</v>
      </c>
      <c r="B32" s="3">
        <v>46</v>
      </c>
    </row>
    <row r="33" spans="1:2" x14ac:dyDescent="0.3">
      <c r="A33" s="3">
        <v>32</v>
      </c>
      <c r="B33" s="3">
        <v>54</v>
      </c>
    </row>
    <row r="34" spans="1:2" x14ac:dyDescent="0.3">
      <c r="A34" s="3">
        <v>33</v>
      </c>
      <c r="B34" s="3">
        <v>42</v>
      </c>
    </row>
    <row r="35" spans="1:2" x14ac:dyDescent="0.3">
      <c r="A35" s="3">
        <v>34</v>
      </c>
      <c r="B35" s="3">
        <v>31</v>
      </c>
    </row>
    <row r="36" spans="1:2" x14ac:dyDescent="0.3">
      <c r="A36" s="3">
        <v>35</v>
      </c>
      <c r="B36" s="3">
        <v>33</v>
      </c>
    </row>
    <row r="37" spans="1:2" x14ac:dyDescent="0.3">
      <c r="A37" s="3">
        <v>36</v>
      </c>
      <c r="B37" s="3">
        <v>47</v>
      </c>
    </row>
    <row r="38" spans="1:2" x14ac:dyDescent="0.3">
      <c r="A38" s="3">
        <v>37</v>
      </c>
      <c r="B38" s="3">
        <v>52</v>
      </c>
    </row>
    <row r="39" spans="1:2" x14ac:dyDescent="0.3">
      <c r="A39" s="3">
        <v>38</v>
      </c>
      <c r="B39" s="3">
        <v>39</v>
      </c>
    </row>
    <row r="40" spans="1:2" x14ac:dyDescent="0.3">
      <c r="A40" s="3">
        <v>39</v>
      </c>
      <c r="B40" s="3">
        <v>43</v>
      </c>
    </row>
    <row r="41" spans="1:2" x14ac:dyDescent="0.3">
      <c r="A41" s="3">
        <v>40</v>
      </c>
      <c r="B41" s="3">
        <v>55</v>
      </c>
    </row>
    <row r="42" spans="1:2" x14ac:dyDescent="0.3">
      <c r="A42" s="3">
        <v>41</v>
      </c>
      <c r="B42" s="3">
        <v>47</v>
      </c>
    </row>
    <row r="43" spans="1:2" x14ac:dyDescent="0.3">
      <c r="A43" s="3">
        <v>42</v>
      </c>
      <c r="B43" s="3">
        <v>38</v>
      </c>
    </row>
    <row r="44" spans="1:2" x14ac:dyDescent="0.3">
      <c r="A44" s="3">
        <v>43</v>
      </c>
      <c r="B44" s="3">
        <v>30</v>
      </c>
    </row>
    <row r="45" spans="1:2" x14ac:dyDescent="0.3">
      <c r="A45" s="3">
        <v>44</v>
      </c>
      <c r="B45" s="3">
        <v>54</v>
      </c>
    </row>
    <row r="46" spans="1:2" x14ac:dyDescent="0.3">
      <c r="A46" s="3">
        <v>45</v>
      </c>
      <c r="B46" s="3">
        <v>38</v>
      </c>
    </row>
    <row r="47" spans="1:2" x14ac:dyDescent="0.3">
      <c r="A47" s="3">
        <v>46</v>
      </c>
      <c r="B47" s="3">
        <v>35</v>
      </c>
    </row>
    <row r="48" spans="1:2" x14ac:dyDescent="0.3">
      <c r="A48" s="3">
        <v>47</v>
      </c>
      <c r="B48" s="3">
        <v>35</v>
      </c>
    </row>
    <row r="49" spans="1:2" x14ac:dyDescent="0.3">
      <c r="A49" s="3">
        <v>48</v>
      </c>
      <c r="B49" s="3">
        <v>59</v>
      </c>
    </row>
    <row r="50" spans="1:2" x14ac:dyDescent="0.3">
      <c r="A50" s="3">
        <v>49</v>
      </c>
      <c r="B50" s="3">
        <v>39</v>
      </c>
    </row>
    <row r="51" spans="1:2" x14ac:dyDescent="0.3">
      <c r="A51" s="3">
        <v>50</v>
      </c>
      <c r="B51" s="3">
        <v>42</v>
      </c>
    </row>
    <row r="52" spans="1:2" x14ac:dyDescent="0.3">
      <c r="A52" s="3">
        <v>51</v>
      </c>
      <c r="B52" s="3">
        <v>48</v>
      </c>
    </row>
    <row r="53" spans="1:2" x14ac:dyDescent="0.3">
      <c r="A53" s="3">
        <v>52</v>
      </c>
      <c r="B53" s="3">
        <v>59</v>
      </c>
    </row>
    <row r="54" spans="1:2" x14ac:dyDescent="0.3">
      <c r="A54" s="3">
        <v>53</v>
      </c>
      <c r="B54" s="3">
        <v>52</v>
      </c>
    </row>
    <row r="55" spans="1:2" x14ac:dyDescent="0.3">
      <c r="A55" s="3">
        <v>54</v>
      </c>
      <c r="B55" s="3">
        <v>59</v>
      </c>
    </row>
    <row r="56" spans="1:2" x14ac:dyDescent="0.3">
      <c r="A56" s="3">
        <v>55</v>
      </c>
      <c r="B56" s="3">
        <v>39</v>
      </c>
    </row>
    <row r="57" spans="1:2" x14ac:dyDescent="0.3">
      <c r="A57" s="3">
        <v>56</v>
      </c>
      <c r="B57" s="3">
        <v>45</v>
      </c>
    </row>
    <row r="58" spans="1:2" x14ac:dyDescent="0.3">
      <c r="A58" s="3">
        <v>57</v>
      </c>
      <c r="B58" s="3">
        <v>46</v>
      </c>
    </row>
    <row r="59" spans="1:2" x14ac:dyDescent="0.3">
      <c r="A59" s="3">
        <v>58</v>
      </c>
      <c r="B59" s="3">
        <v>36</v>
      </c>
    </row>
    <row r="60" spans="1:2" x14ac:dyDescent="0.3">
      <c r="A60" s="3">
        <v>59</v>
      </c>
      <c r="B60" s="3">
        <v>40</v>
      </c>
    </row>
    <row r="61" spans="1:2" x14ac:dyDescent="0.3">
      <c r="A61" s="3">
        <v>60</v>
      </c>
      <c r="B61" s="3">
        <v>40</v>
      </c>
    </row>
    <row r="62" spans="1:2" x14ac:dyDescent="0.3">
      <c r="B62">
        <f>_xlfn.MODE.SNGL(B2:B61)</f>
        <v>35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AFE94-8F96-4062-B4A1-ECB27350D94B}">
  <dimension ref="A1:D66"/>
  <sheetViews>
    <sheetView topLeftCell="A43" workbookViewId="0">
      <selection activeCell="H58" sqref="H58"/>
    </sheetView>
  </sheetViews>
  <sheetFormatPr defaultRowHeight="16.5" x14ac:dyDescent="0.3"/>
  <cols>
    <col min="1" max="1" width="5.25" bestFit="1" customWidth="1"/>
    <col min="2" max="2" width="6.5" bestFit="1" customWidth="1"/>
    <col min="3" max="3" width="13" bestFit="1" customWidth="1"/>
    <col min="4" max="4" width="12.75" bestFit="1" customWidth="1"/>
  </cols>
  <sheetData>
    <row r="1" spans="1:4" x14ac:dyDescent="0.3">
      <c r="A1" s="1" t="s">
        <v>2</v>
      </c>
      <c r="B1" s="2" t="s">
        <v>1</v>
      </c>
      <c r="C1" t="s">
        <v>12</v>
      </c>
      <c r="D1" t="s">
        <v>13</v>
      </c>
    </row>
    <row r="2" spans="1:4" x14ac:dyDescent="0.3">
      <c r="A2" s="3">
        <v>1</v>
      </c>
      <c r="B2" s="3">
        <v>41</v>
      </c>
      <c r="C2">
        <f>B2-$B$62</f>
        <v>-3.75</v>
      </c>
      <c r="D2">
        <f>C2^2</f>
        <v>14.0625</v>
      </c>
    </row>
    <row r="3" spans="1:4" x14ac:dyDescent="0.3">
      <c r="A3" s="3">
        <v>2</v>
      </c>
      <c r="B3" s="3">
        <v>30</v>
      </c>
      <c r="C3">
        <f t="shared" ref="C3:C61" si="0">B3-$B$62</f>
        <v>-14.75</v>
      </c>
      <c r="D3">
        <f t="shared" ref="D3:D61" si="1">C3^2</f>
        <v>217.5625</v>
      </c>
    </row>
    <row r="4" spans="1:4" x14ac:dyDescent="0.3">
      <c r="A4" s="3">
        <v>3</v>
      </c>
      <c r="B4" s="3">
        <v>44</v>
      </c>
      <c r="C4">
        <f t="shared" si="0"/>
        <v>-0.75</v>
      </c>
      <c r="D4">
        <f t="shared" si="1"/>
        <v>0.5625</v>
      </c>
    </row>
    <row r="5" spans="1:4" x14ac:dyDescent="0.3">
      <c r="A5" s="3">
        <v>4</v>
      </c>
      <c r="B5" s="3">
        <v>54</v>
      </c>
      <c r="C5">
        <f t="shared" si="0"/>
        <v>9.25</v>
      </c>
      <c r="D5">
        <f t="shared" si="1"/>
        <v>85.5625</v>
      </c>
    </row>
    <row r="6" spans="1:4" x14ac:dyDescent="0.3">
      <c r="A6" s="3">
        <v>5</v>
      </c>
      <c r="B6" s="3">
        <v>57</v>
      </c>
      <c r="C6">
        <f t="shared" si="0"/>
        <v>12.25</v>
      </c>
      <c r="D6">
        <f t="shared" si="1"/>
        <v>150.0625</v>
      </c>
    </row>
    <row r="7" spans="1:4" x14ac:dyDescent="0.3">
      <c r="A7" s="3">
        <v>6</v>
      </c>
      <c r="B7" s="3">
        <v>48</v>
      </c>
      <c r="C7">
        <f t="shared" si="0"/>
        <v>3.25</v>
      </c>
      <c r="D7">
        <f t="shared" si="1"/>
        <v>10.5625</v>
      </c>
    </row>
    <row r="8" spans="1:4" x14ac:dyDescent="0.3">
      <c r="A8" s="3">
        <v>7</v>
      </c>
      <c r="B8" s="3">
        <v>53</v>
      </c>
      <c r="C8">
        <f t="shared" si="0"/>
        <v>8.25</v>
      </c>
      <c r="D8">
        <f t="shared" si="1"/>
        <v>68.0625</v>
      </c>
    </row>
    <row r="9" spans="1:4" x14ac:dyDescent="0.3">
      <c r="A9" s="3">
        <v>8</v>
      </c>
      <c r="B9" s="3">
        <v>35</v>
      </c>
      <c r="C9">
        <f t="shared" si="0"/>
        <v>-9.75</v>
      </c>
      <c r="D9">
        <f t="shared" si="1"/>
        <v>95.0625</v>
      </c>
    </row>
    <row r="10" spans="1:4" x14ac:dyDescent="0.3">
      <c r="A10" s="3">
        <v>9</v>
      </c>
      <c r="B10" s="3">
        <v>38</v>
      </c>
      <c r="C10">
        <f t="shared" si="0"/>
        <v>-6.75</v>
      </c>
      <c r="D10">
        <f t="shared" si="1"/>
        <v>45.5625</v>
      </c>
    </row>
    <row r="11" spans="1:4" x14ac:dyDescent="0.3">
      <c r="A11" s="3">
        <v>10</v>
      </c>
      <c r="B11" s="3">
        <v>46</v>
      </c>
      <c r="C11">
        <f t="shared" si="0"/>
        <v>1.25</v>
      </c>
      <c r="D11">
        <f t="shared" si="1"/>
        <v>1.5625</v>
      </c>
    </row>
    <row r="12" spans="1:4" x14ac:dyDescent="0.3">
      <c r="A12" s="3">
        <v>11</v>
      </c>
      <c r="B12" s="3">
        <v>46</v>
      </c>
      <c r="C12">
        <f t="shared" si="0"/>
        <v>1.25</v>
      </c>
      <c r="D12">
        <f t="shared" si="1"/>
        <v>1.5625</v>
      </c>
    </row>
    <row r="13" spans="1:4" x14ac:dyDescent="0.3">
      <c r="A13" s="3">
        <v>12</v>
      </c>
      <c r="B13" s="3">
        <v>35</v>
      </c>
      <c r="C13">
        <f t="shared" si="0"/>
        <v>-9.75</v>
      </c>
      <c r="D13">
        <f t="shared" si="1"/>
        <v>95.0625</v>
      </c>
    </row>
    <row r="14" spans="1:4" x14ac:dyDescent="0.3">
      <c r="A14" s="3">
        <v>13</v>
      </c>
      <c r="B14" s="3">
        <v>54</v>
      </c>
      <c r="C14">
        <f t="shared" si="0"/>
        <v>9.25</v>
      </c>
      <c r="D14">
        <f t="shared" si="1"/>
        <v>85.5625</v>
      </c>
    </row>
    <row r="15" spans="1:4" x14ac:dyDescent="0.3">
      <c r="A15" s="3">
        <v>14</v>
      </c>
      <c r="B15" s="3">
        <v>58</v>
      </c>
      <c r="C15">
        <f t="shared" si="0"/>
        <v>13.25</v>
      </c>
      <c r="D15">
        <f t="shared" si="1"/>
        <v>175.5625</v>
      </c>
    </row>
    <row r="16" spans="1:4" x14ac:dyDescent="0.3">
      <c r="A16" s="3">
        <v>15</v>
      </c>
      <c r="B16" s="3">
        <v>52</v>
      </c>
      <c r="C16">
        <f t="shared" si="0"/>
        <v>7.25</v>
      </c>
      <c r="D16">
        <f t="shared" si="1"/>
        <v>52.5625</v>
      </c>
    </row>
    <row r="17" spans="1:4" x14ac:dyDescent="0.3">
      <c r="A17" s="3">
        <v>16</v>
      </c>
      <c r="B17" s="3">
        <v>35</v>
      </c>
      <c r="C17">
        <f t="shared" si="0"/>
        <v>-9.75</v>
      </c>
      <c r="D17">
        <f t="shared" si="1"/>
        <v>95.0625</v>
      </c>
    </row>
    <row r="18" spans="1:4" x14ac:dyDescent="0.3">
      <c r="A18" s="3">
        <v>17</v>
      </c>
      <c r="B18" s="3">
        <v>42</v>
      </c>
      <c r="C18">
        <f t="shared" si="0"/>
        <v>-2.75</v>
      </c>
      <c r="D18">
        <f t="shared" si="1"/>
        <v>7.5625</v>
      </c>
    </row>
    <row r="19" spans="1:4" x14ac:dyDescent="0.3">
      <c r="A19" s="3">
        <v>18</v>
      </c>
      <c r="B19" s="3">
        <v>57</v>
      </c>
      <c r="C19">
        <f t="shared" si="0"/>
        <v>12.25</v>
      </c>
      <c r="D19">
        <f t="shared" si="1"/>
        <v>150.0625</v>
      </c>
    </row>
    <row r="20" spans="1:4" x14ac:dyDescent="0.3">
      <c r="A20" s="3">
        <v>19</v>
      </c>
      <c r="B20" s="3">
        <v>43</v>
      </c>
      <c r="C20">
        <f t="shared" si="0"/>
        <v>-1.75</v>
      </c>
      <c r="D20">
        <f t="shared" si="1"/>
        <v>3.0625</v>
      </c>
    </row>
    <row r="21" spans="1:4" x14ac:dyDescent="0.3">
      <c r="A21" s="3">
        <v>20</v>
      </c>
      <c r="B21" s="3">
        <v>52</v>
      </c>
      <c r="C21">
        <f t="shared" si="0"/>
        <v>7.25</v>
      </c>
      <c r="D21">
        <f t="shared" si="1"/>
        <v>52.5625</v>
      </c>
    </row>
    <row r="22" spans="1:4" x14ac:dyDescent="0.3">
      <c r="A22" s="3">
        <v>21</v>
      </c>
      <c r="B22" s="3">
        <v>48</v>
      </c>
      <c r="C22">
        <f t="shared" si="0"/>
        <v>3.25</v>
      </c>
      <c r="D22">
        <f t="shared" si="1"/>
        <v>10.5625</v>
      </c>
    </row>
    <row r="23" spans="1:4" x14ac:dyDescent="0.3">
      <c r="A23" s="3">
        <v>22</v>
      </c>
      <c r="B23" s="3">
        <v>56</v>
      </c>
      <c r="C23">
        <f t="shared" si="0"/>
        <v>11.25</v>
      </c>
      <c r="D23">
        <f t="shared" si="1"/>
        <v>126.5625</v>
      </c>
    </row>
    <row r="24" spans="1:4" x14ac:dyDescent="0.3">
      <c r="A24" s="3">
        <v>23</v>
      </c>
      <c r="B24" s="3">
        <v>51</v>
      </c>
      <c r="C24">
        <f t="shared" si="0"/>
        <v>6.25</v>
      </c>
      <c r="D24">
        <f t="shared" si="1"/>
        <v>39.0625</v>
      </c>
    </row>
    <row r="25" spans="1:4" x14ac:dyDescent="0.3">
      <c r="A25" s="3">
        <v>24</v>
      </c>
      <c r="B25" s="3">
        <v>35</v>
      </c>
      <c r="C25">
        <f t="shared" si="0"/>
        <v>-9.75</v>
      </c>
      <c r="D25">
        <f t="shared" si="1"/>
        <v>95.0625</v>
      </c>
    </row>
    <row r="26" spans="1:4" x14ac:dyDescent="0.3">
      <c r="A26" s="3">
        <v>25</v>
      </c>
      <c r="B26" s="3">
        <v>50</v>
      </c>
      <c r="C26">
        <f t="shared" si="0"/>
        <v>5.25</v>
      </c>
      <c r="D26">
        <f t="shared" si="1"/>
        <v>27.5625</v>
      </c>
    </row>
    <row r="27" spans="1:4" x14ac:dyDescent="0.3">
      <c r="A27" s="3">
        <v>26</v>
      </c>
      <c r="B27" s="3">
        <v>37</v>
      </c>
      <c r="C27">
        <f t="shared" si="0"/>
        <v>-7.75</v>
      </c>
      <c r="D27">
        <f t="shared" si="1"/>
        <v>60.0625</v>
      </c>
    </row>
    <row r="28" spans="1:4" x14ac:dyDescent="0.3">
      <c r="A28" s="3">
        <v>27</v>
      </c>
      <c r="B28" s="3">
        <v>34</v>
      </c>
      <c r="C28">
        <f t="shared" si="0"/>
        <v>-10.75</v>
      </c>
      <c r="D28">
        <f t="shared" si="1"/>
        <v>115.5625</v>
      </c>
    </row>
    <row r="29" spans="1:4" x14ac:dyDescent="0.3">
      <c r="A29" s="3">
        <v>28</v>
      </c>
      <c r="B29" s="3">
        <v>54</v>
      </c>
      <c r="C29">
        <f t="shared" si="0"/>
        <v>9.25</v>
      </c>
      <c r="D29">
        <f t="shared" si="1"/>
        <v>85.5625</v>
      </c>
    </row>
    <row r="30" spans="1:4" x14ac:dyDescent="0.3">
      <c r="A30" s="3">
        <v>29</v>
      </c>
      <c r="B30" s="3">
        <v>40</v>
      </c>
      <c r="C30">
        <f t="shared" si="0"/>
        <v>-4.75</v>
      </c>
      <c r="D30">
        <f t="shared" si="1"/>
        <v>22.5625</v>
      </c>
    </row>
    <row r="31" spans="1:4" x14ac:dyDescent="0.3">
      <c r="A31" s="3">
        <v>30</v>
      </c>
      <c r="B31" s="3">
        <v>37</v>
      </c>
      <c r="C31">
        <f t="shared" si="0"/>
        <v>-7.75</v>
      </c>
      <c r="D31">
        <f t="shared" si="1"/>
        <v>60.0625</v>
      </c>
    </row>
    <row r="32" spans="1:4" x14ac:dyDescent="0.3">
      <c r="A32" s="3">
        <v>31</v>
      </c>
      <c r="B32" s="3">
        <v>46</v>
      </c>
      <c r="C32">
        <f t="shared" si="0"/>
        <v>1.25</v>
      </c>
      <c r="D32">
        <f t="shared" si="1"/>
        <v>1.5625</v>
      </c>
    </row>
    <row r="33" spans="1:4" x14ac:dyDescent="0.3">
      <c r="A33" s="3">
        <v>32</v>
      </c>
      <c r="B33" s="3">
        <v>54</v>
      </c>
      <c r="C33">
        <f t="shared" si="0"/>
        <v>9.25</v>
      </c>
      <c r="D33">
        <f t="shared" si="1"/>
        <v>85.5625</v>
      </c>
    </row>
    <row r="34" spans="1:4" x14ac:dyDescent="0.3">
      <c r="A34" s="3">
        <v>33</v>
      </c>
      <c r="B34" s="3">
        <v>42</v>
      </c>
      <c r="C34">
        <f t="shared" si="0"/>
        <v>-2.75</v>
      </c>
      <c r="D34">
        <f t="shared" si="1"/>
        <v>7.5625</v>
      </c>
    </row>
    <row r="35" spans="1:4" x14ac:dyDescent="0.3">
      <c r="A35" s="3">
        <v>34</v>
      </c>
      <c r="B35" s="3">
        <v>31</v>
      </c>
      <c r="C35">
        <f t="shared" si="0"/>
        <v>-13.75</v>
      </c>
      <c r="D35">
        <f t="shared" si="1"/>
        <v>189.0625</v>
      </c>
    </row>
    <row r="36" spans="1:4" x14ac:dyDescent="0.3">
      <c r="A36" s="3">
        <v>35</v>
      </c>
      <c r="B36" s="3">
        <v>33</v>
      </c>
      <c r="C36">
        <f t="shared" si="0"/>
        <v>-11.75</v>
      </c>
      <c r="D36">
        <f t="shared" si="1"/>
        <v>138.0625</v>
      </c>
    </row>
    <row r="37" spans="1:4" x14ac:dyDescent="0.3">
      <c r="A37" s="3">
        <v>36</v>
      </c>
      <c r="B37" s="3">
        <v>47</v>
      </c>
      <c r="C37">
        <f t="shared" si="0"/>
        <v>2.25</v>
      </c>
      <c r="D37">
        <f t="shared" si="1"/>
        <v>5.0625</v>
      </c>
    </row>
    <row r="38" spans="1:4" x14ac:dyDescent="0.3">
      <c r="A38" s="3">
        <v>37</v>
      </c>
      <c r="B38" s="3">
        <v>52</v>
      </c>
      <c r="C38">
        <f t="shared" si="0"/>
        <v>7.25</v>
      </c>
      <c r="D38">
        <f t="shared" si="1"/>
        <v>52.5625</v>
      </c>
    </row>
    <row r="39" spans="1:4" x14ac:dyDescent="0.3">
      <c r="A39" s="3">
        <v>38</v>
      </c>
      <c r="B39" s="3">
        <v>39</v>
      </c>
      <c r="C39">
        <f t="shared" si="0"/>
        <v>-5.75</v>
      </c>
      <c r="D39">
        <f t="shared" si="1"/>
        <v>33.0625</v>
      </c>
    </row>
    <row r="40" spans="1:4" x14ac:dyDescent="0.3">
      <c r="A40" s="3">
        <v>39</v>
      </c>
      <c r="B40" s="3">
        <v>43</v>
      </c>
      <c r="C40">
        <f t="shared" si="0"/>
        <v>-1.75</v>
      </c>
      <c r="D40">
        <f t="shared" si="1"/>
        <v>3.0625</v>
      </c>
    </row>
    <row r="41" spans="1:4" x14ac:dyDescent="0.3">
      <c r="A41" s="3">
        <v>40</v>
      </c>
      <c r="B41" s="3">
        <v>55</v>
      </c>
      <c r="C41">
        <f t="shared" si="0"/>
        <v>10.25</v>
      </c>
      <c r="D41">
        <f t="shared" si="1"/>
        <v>105.0625</v>
      </c>
    </row>
    <row r="42" spans="1:4" x14ac:dyDescent="0.3">
      <c r="A42" s="3">
        <v>41</v>
      </c>
      <c r="B42" s="3">
        <v>47</v>
      </c>
      <c r="C42">
        <f t="shared" si="0"/>
        <v>2.25</v>
      </c>
      <c r="D42">
        <f t="shared" si="1"/>
        <v>5.0625</v>
      </c>
    </row>
    <row r="43" spans="1:4" x14ac:dyDescent="0.3">
      <c r="A43" s="3">
        <v>42</v>
      </c>
      <c r="B43" s="3">
        <v>38</v>
      </c>
      <c r="C43">
        <f t="shared" si="0"/>
        <v>-6.75</v>
      </c>
      <c r="D43">
        <f t="shared" si="1"/>
        <v>45.5625</v>
      </c>
    </row>
    <row r="44" spans="1:4" x14ac:dyDescent="0.3">
      <c r="A44" s="3">
        <v>43</v>
      </c>
      <c r="B44" s="3">
        <v>30</v>
      </c>
      <c r="C44">
        <f t="shared" si="0"/>
        <v>-14.75</v>
      </c>
      <c r="D44">
        <f t="shared" si="1"/>
        <v>217.5625</v>
      </c>
    </row>
    <row r="45" spans="1:4" x14ac:dyDescent="0.3">
      <c r="A45" s="3">
        <v>44</v>
      </c>
      <c r="B45" s="3">
        <v>54</v>
      </c>
      <c r="C45">
        <f t="shared" si="0"/>
        <v>9.25</v>
      </c>
      <c r="D45">
        <f t="shared" si="1"/>
        <v>85.5625</v>
      </c>
    </row>
    <row r="46" spans="1:4" x14ac:dyDescent="0.3">
      <c r="A46" s="3">
        <v>45</v>
      </c>
      <c r="B46" s="3">
        <v>38</v>
      </c>
      <c r="C46">
        <f t="shared" si="0"/>
        <v>-6.75</v>
      </c>
      <c r="D46">
        <f t="shared" si="1"/>
        <v>45.5625</v>
      </c>
    </row>
    <row r="47" spans="1:4" x14ac:dyDescent="0.3">
      <c r="A47" s="3">
        <v>46</v>
      </c>
      <c r="B47" s="3">
        <v>35</v>
      </c>
      <c r="C47">
        <f t="shared" si="0"/>
        <v>-9.75</v>
      </c>
      <c r="D47">
        <f t="shared" si="1"/>
        <v>95.0625</v>
      </c>
    </row>
    <row r="48" spans="1:4" x14ac:dyDescent="0.3">
      <c r="A48" s="3">
        <v>47</v>
      </c>
      <c r="B48" s="3">
        <v>35</v>
      </c>
      <c r="C48">
        <f t="shared" si="0"/>
        <v>-9.75</v>
      </c>
      <c r="D48">
        <f t="shared" si="1"/>
        <v>95.0625</v>
      </c>
    </row>
    <row r="49" spans="1:4" x14ac:dyDescent="0.3">
      <c r="A49" s="3">
        <v>48</v>
      </c>
      <c r="B49" s="3">
        <v>59</v>
      </c>
      <c r="C49">
        <f t="shared" si="0"/>
        <v>14.25</v>
      </c>
      <c r="D49">
        <f t="shared" si="1"/>
        <v>203.0625</v>
      </c>
    </row>
    <row r="50" spans="1:4" x14ac:dyDescent="0.3">
      <c r="A50" s="3">
        <v>49</v>
      </c>
      <c r="B50" s="3">
        <v>39</v>
      </c>
      <c r="C50">
        <f t="shared" si="0"/>
        <v>-5.75</v>
      </c>
      <c r="D50">
        <f t="shared" si="1"/>
        <v>33.0625</v>
      </c>
    </row>
    <row r="51" spans="1:4" x14ac:dyDescent="0.3">
      <c r="A51" s="3">
        <v>50</v>
      </c>
      <c r="B51" s="3">
        <v>42</v>
      </c>
      <c r="C51">
        <f t="shared" si="0"/>
        <v>-2.75</v>
      </c>
      <c r="D51">
        <f t="shared" si="1"/>
        <v>7.5625</v>
      </c>
    </row>
    <row r="52" spans="1:4" x14ac:dyDescent="0.3">
      <c r="A52" s="3">
        <v>51</v>
      </c>
      <c r="B52" s="3">
        <v>48</v>
      </c>
      <c r="C52">
        <f t="shared" si="0"/>
        <v>3.25</v>
      </c>
      <c r="D52">
        <f t="shared" si="1"/>
        <v>10.5625</v>
      </c>
    </row>
    <row r="53" spans="1:4" x14ac:dyDescent="0.3">
      <c r="A53" s="3">
        <v>52</v>
      </c>
      <c r="B53" s="3">
        <v>59</v>
      </c>
      <c r="C53">
        <f t="shared" si="0"/>
        <v>14.25</v>
      </c>
      <c r="D53">
        <f t="shared" si="1"/>
        <v>203.0625</v>
      </c>
    </row>
    <row r="54" spans="1:4" x14ac:dyDescent="0.3">
      <c r="A54" s="3">
        <v>53</v>
      </c>
      <c r="B54" s="3">
        <v>52</v>
      </c>
      <c r="C54">
        <f t="shared" si="0"/>
        <v>7.25</v>
      </c>
      <c r="D54">
        <f t="shared" si="1"/>
        <v>52.5625</v>
      </c>
    </row>
    <row r="55" spans="1:4" x14ac:dyDescent="0.3">
      <c r="A55" s="3">
        <v>54</v>
      </c>
      <c r="B55" s="3">
        <v>59</v>
      </c>
      <c r="C55">
        <f t="shared" si="0"/>
        <v>14.25</v>
      </c>
      <c r="D55">
        <f t="shared" si="1"/>
        <v>203.0625</v>
      </c>
    </row>
    <row r="56" spans="1:4" x14ac:dyDescent="0.3">
      <c r="A56" s="3">
        <v>55</v>
      </c>
      <c r="B56" s="3">
        <v>39</v>
      </c>
      <c r="C56">
        <f t="shared" si="0"/>
        <v>-5.75</v>
      </c>
      <c r="D56">
        <f t="shared" si="1"/>
        <v>33.0625</v>
      </c>
    </row>
    <row r="57" spans="1:4" x14ac:dyDescent="0.3">
      <c r="A57" s="3">
        <v>56</v>
      </c>
      <c r="B57" s="3">
        <v>45</v>
      </c>
      <c r="C57">
        <f t="shared" si="0"/>
        <v>0.25</v>
      </c>
      <c r="D57">
        <f t="shared" si="1"/>
        <v>6.25E-2</v>
      </c>
    </row>
    <row r="58" spans="1:4" x14ac:dyDescent="0.3">
      <c r="A58" s="3">
        <v>57</v>
      </c>
      <c r="B58" s="3">
        <v>46</v>
      </c>
      <c r="C58">
        <f t="shared" si="0"/>
        <v>1.25</v>
      </c>
      <c r="D58">
        <f t="shared" si="1"/>
        <v>1.5625</v>
      </c>
    </row>
    <row r="59" spans="1:4" x14ac:dyDescent="0.3">
      <c r="A59" s="3">
        <v>58</v>
      </c>
      <c r="B59" s="3">
        <v>36</v>
      </c>
      <c r="C59">
        <f t="shared" si="0"/>
        <v>-8.75</v>
      </c>
      <c r="D59">
        <f t="shared" si="1"/>
        <v>76.5625</v>
      </c>
    </row>
    <row r="60" spans="1:4" x14ac:dyDescent="0.3">
      <c r="A60" s="3">
        <v>59</v>
      </c>
      <c r="B60" s="3">
        <v>40</v>
      </c>
      <c r="C60">
        <f t="shared" si="0"/>
        <v>-4.75</v>
      </c>
      <c r="D60">
        <f t="shared" si="1"/>
        <v>22.5625</v>
      </c>
    </row>
    <row r="61" spans="1:4" x14ac:dyDescent="0.3">
      <c r="A61" s="3">
        <v>60</v>
      </c>
      <c r="B61" s="3">
        <v>40</v>
      </c>
      <c r="C61">
        <f t="shared" si="0"/>
        <v>-4.75</v>
      </c>
      <c r="D61">
        <f t="shared" si="1"/>
        <v>22.5625</v>
      </c>
    </row>
    <row r="62" spans="1:4" x14ac:dyDescent="0.3">
      <c r="A62" t="s">
        <v>11</v>
      </c>
      <c r="B62">
        <f>AVERAGE(B2:B61)</f>
        <v>44.75</v>
      </c>
      <c r="C62" t="s">
        <v>14</v>
      </c>
      <c r="D62">
        <f>SUM(D2:D61)</f>
        <v>4129.25</v>
      </c>
    </row>
    <row r="63" spans="1:4" x14ac:dyDescent="0.3">
      <c r="C63" t="s">
        <v>15</v>
      </c>
      <c r="D63">
        <f>D62/(60-1)</f>
        <v>69.987288135593218</v>
      </c>
    </row>
    <row r="64" spans="1:4" x14ac:dyDescent="0.3">
      <c r="D64">
        <f>_xlfn.VAR.S(B2:B61)</f>
        <v>69.987288135593218</v>
      </c>
    </row>
    <row r="65" spans="3:4" x14ac:dyDescent="0.3">
      <c r="C65" t="s">
        <v>16</v>
      </c>
      <c r="D65">
        <f>SQRT(D64)</f>
        <v>8.3658405516477075</v>
      </c>
    </row>
    <row r="66" spans="3:4" x14ac:dyDescent="0.3">
      <c r="D66">
        <f>_xlfn.STDEV.S(B2:B61)</f>
        <v>8.3658405516477075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58C3D-88FE-4FA8-B81F-C9EE5744347A}">
  <dimension ref="A1:D64"/>
  <sheetViews>
    <sheetView workbookViewId="0">
      <selection sqref="A1:D64"/>
    </sheetView>
  </sheetViews>
  <sheetFormatPr defaultRowHeight="16.5" x14ac:dyDescent="0.3"/>
  <sheetData>
    <row r="1" spans="1:4" ht="27" x14ac:dyDescent="0.3">
      <c r="A1" s="1" t="s">
        <v>2</v>
      </c>
      <c r="B1" s="2" t="s">
        <v>1</v>
      </c>
      <c r="C1" s="4" t="s">
        <v>3</v>
      </c>
      <c r="D1" s="4" t="s">
        <v>4</v>
      </c>
    </row>
    <row r="2" spans="1:4" x14ac:dyDescent="0.3">
      <c r="A2" s="3">
        <v>1</v>
      </c>
      <c r="B2" s="3">
        <v>41</v>
      </c>
      <c r="C2" s="5">
        <f>B2-$B$62</f>
        <v>-3.75</v>
      </c>
      <c r="D2" s="6">
        <f>C2^2</f>
        <v>14.0625</v>
      </c>
    </row>
    <row r="3" spans="1:4" x14ac:dyDescent="0.3">
      <c r="A3" s="3">
        <v>2</v>
      </c>
      <c r="B3" s="3">
        <v>30</v>
      </c>
      <c r="C3" s="5">
        <f t="shared" ref="C3:C61" si="0">B3-$B$62</f>
        <v>-14.75</v>
      </c>
      <c r="D3" s="6">
        <f t="shared" ref="D3:D61" si="1">C3^2</f>
        <v>217.5625</v>
      </c>
    </row>
    <row r="4" spans="1:4" x14ac:dyDescent="0.3">
      <c r="A4" s="3">
        <v>3</v>
      </c>
      <c r="B4" s="3">
        <v>44</v>
      </c>
      <c r="C4" s="5">
        <f t="shared" si="0"/>
        <v>-0.75</v>
      </c>
      <c r="D4" s="6">
        <f t="shared" si="1"/>
        <v>0.5625</v>
      </c>
    </row>
    <row r="5" spans="1:4" x14ac:dyDescent="0.3">
      <c r="A5" s="3">
        <v>4</v>
      </c>
      <c r="B5" s="3">
        <v>54</v>
      </c>
      <c r="C5" s="5">
        <f t="shared" si="0"/>
        <v>9.25</v>
      </c>
      <c r="D5" s="6">
        <f t="shared" si="1"/>
        <v>85.5625</v>
      </c>
    </row>
    <row r="6" spans="1:4" x14ac:dyDescent="0.3">
      <c r="A6" s="3">
        <v>5</v>
      </c>
      <c r="B6" s="3">
        <v>57</v>
      </c>
      <c r="C6" s="5">
        <f t="shared" si="0"/>
        <v>12.25</v>
      </c>
      <c r="D6" s="6">
        <f t="shared" si="1"/>
        <v>150.0625</v>
      </c>
    </row>
    <row r="7" spans="1:4" x14ac:dyDescent="0.3">
      <c r="A7" s="3">
        <v>6</v>
      </c>
      <c r="B7" s="3">
        <v>48</v>
      </c>
      <c r="C7" s="5">
        <f t="shared" si="0"/>
        <v>3.25</v>
      </c>
      <c r="D7" s="6">
        <f t="shared" si="1"/>
        <v>10.5625</v>
      </c>
    </row>
    <row r="8" spans="1:4" x14ac:dyDescent="0.3">
      <c r="A8" s="3">
        <v>7</v>
      </c>
      <c r="B8" s="3">
        <v>53</v>
      </c>
      <c r="C8" s="5">
        <f t="shared" si="0"/>
        <v>8.25</v>
      </c>
      <c r="D8" s="6">
        <f t="shared" si="1"/>
        <v>68.0625</v>
      </c>
    </row>
    <row r="9" spans="1:4" x14ac:dyDescent="0.3">
      <c r="A9" s="3">
        <v>8</v>
      </c>
      <c r="B9" s="3">
        <v>35</v>
      </c>
      <c r="C9" s="5">
        <f t="shared" si="0"/>
        <v>-9.75</v>
      </c>
      <c r="D9" s="6">
        <f t="shared" si="1"/>
        <v>95.0625</v>
      </c>
    </row>
    <row r="10" spans="1:4" x14ac:dyDescent="0.3">
      <c r="A10" s="3">
        <v>9</v>
      </c>
      <c r="B10" s="3">
        <v>38</v>
      </c>
      <c r="C10" s="5">
        <f t="shared" si="0"/>
        <v>-6.75</v>
      </c>
      <c r="D10" s="6">
        <f t="shared" si="1"/>
        <v>45.5625</v>
      </c>
    </row>
    <row r="11" spans="1:4" x14ac:dyDescent="0.3">
      <c r="A11" s="3">
        <v>10</v>
      </c>
      <c r="B11" s="3">
        <v>46</v>
      </c>
      <c r="C11" s="5">
        <f t="shared" si="0"/>
        <v>1.25</v>
      </c>
      <c r="D11" s="6">
        <f t="shared" si="1"/>
        <v>1.5625</v>
      </c>
    </row>
    <row r="12" spans="1:4" x14ac:dyDescent="0.3">
      <c r="A12" s="3">
        <v>11</v>
      </c>
      <c r="B12" s="3">
        <v>46</v>
      </c>
      <c r="C12" s="5">
        <f t="shared" si="0"/>
        <v>1.25</v>
      </c>
      <c r="D12" s="6">
        <f t="shared" si="1"/>
        <v>1.5625</v>
      </c>
    </row>
    <row r="13" spans="1:4" x14ac:dyDescent="0.3">
      <c r="A13" s="3">
        <v>12</v>
      </c>
      <c r="B13" s="3">
        <v>35</v>
      </c>
      <c r="C13" s="5">
        <f t="shared" si="0"/>
        <v>-9.75</v>
      </c>
      <c r="D13" s="6">
        <f t="shared" si="1"/>
        <v>95.0625</v>
      </c>
    </row>
    <row r="14" spans="1:4" x14ac:dyDescent="0.3">
      <c r="A14" s="3">
        <v>13</v>
      </c>
      <c r="B14" s="3">
        <v>54</v>
      </c>
      <c r="C14" s="5">
        <f t="shared" si="0"/>
        <v>9.25</v>
      </c>
      <c r="D14" s="6">
        <f t="shared" si="1"/>
        <v>85.5625</v>
      </c>
    </row>
    <row r="15" spans="1:4" x14ac:dyDescent="0.3">
      <c r="A15" s="3">
        <v>14</v>
      </c>
      <c r="B15" s="3">
        <v>58</v>
      </c>
      <c r="C15" s="5">
        <f t="shared" si="0"/>
        <v>13.25</v>
      </c>
      <c r="D15" s="6">
        <f t="shared" si="1"/>
        <v>175.5625</v>
      </c>
    </row>
    <row r="16" spans="1:4" x14ac:dyDescent="0.3">
      <c r="A16" s="3">
        <v>15</v>
      </c>
      <c r="B16" s="3">
        <v>52</v>
      </c>
      <c r="C16" s="5">
        <f t="shared" si="0"/>
        <v>7.25</v>
      </c>
      <c r="D16" s="6">
        <f t="shared" si="1"/>
        <v>52.5625</v>
      </c>
    </row>
    <row r="17" spans="1:4" x14ac:dyDescent="0.3">
      <c r="A17" s="3">
        <v>16</v>
      </c>
      <c r="B17" s="3">
        <v>35</v>
      </c>
      <c r="C17" s="5">
        <f t="shared" si="0"/>
        <v>-9.75</v>
      </c>
      <c r="D17" s="6">
        <f t="shared" si="1"/>
        <v>95.0625</v>
      </c>
    </row>
    <row r="18" spans="1:4" x14ac:dyDescent="0.3">
      <c r="A18" s="3">
        <v>17</v>
      </c>
      <c r="B18" s="3">
        <v>42</v>
      </c>
      <c r="C18" s="5">
        <f t="shared" si="0"/>
        <v>-2.75</v>
      </c>
      <c r="D18" s="6">
        <f t="shared" si="1"/>
        <v>7.5625</v>
      </c>
    </row>
    <row r="19" spans="1:4" x14ac:dyDescent="0.3">
      <c r="A19" s="3">
        <v>18</v>
      </c>
      <c r="B19" s="3">
        <v>57</v>
      </c>
      <c r="C19" s="5">
        <f t="shared" si="0"/>
        <v>12.25</v>
      </c>
      <c r="D19" s="6">
        <f t="shared" si="1"/>
        <v>150.0625</v>
      </c>
    </row>
    <row r="20" spans="1:4" x14ac:dyDescent="0.3">
      <c r="A20" s="3">
        <v>19</v>
      </c>
      <c r="B20" s="3">
        <v>43</v>
      </c>
      <c r="C20" s="5">
        <f t="shared" si="0"/>
        <v>-1.75</v>
      </c>
      <c r="D20" s="6">
        <f t="shared" si="1"/>
        <v>3.0625</v>
      </c>
    </row>
    <row r="21" spans="1:4" x14ac:dyDescent="0.3">
      <c r="A21" s="3">
        <v>20</v>
      </c>
      <c r="B21" s="3">
        <v>52</v>
      </c>
      <c r="C21" s="5">
        <f t="shared" si="0"/>
        <v>7.25</v>
      </c>
      <c r="D21" s="6">
        <f t="shared" si="1"/>
        <v>52.5625</v>
      </c>
    </row>
    <row r="22" spans="1:4" x14ac:dyDescent="0.3">
      <c r="A22" s="3">
        <v>21</v>
      </c>
      <c r="B22" s="3">
        <v>48</v>
      </c>
      <c r="C22" s="5">
        <f t="shared" si="0"/>
        <v>3.25</v>
      </c>
      <c r="D22" s="6">
        <f t="shared" si="1"/>
        <v>10.5625</v>
      </c>
    </row>
    <row r="23" spans="1:4" x14ac:dyDescent="0.3">
      <c r="A23" s="3">
        <v>22</v>
      </c>
      <c r="B23" s="3">
        <v>56</v>
      </c>
      <c r="C23" s="5">
        <f t="shared" si="0"/>
        <v>11.25</v>
      </c>
      <c r="D23" s="6">
        <f t="shared" si="1"/>
        <v>126.5625</v>
      </c>
    </row>
    <row r="24" spans="1:4" x14ac:dyDescent="0.3">
      <c r="A24" s="3">
        <v>23</v>
      </c>
      <c r="B24" s="3">
        <v>51</v>
      </c>
      <c r="C24" s="5">
        <f t="shared" si="0"/>
        <v>6.25</v>
      </c>
      <c r="D24" s="6">
        <f t="shared" si="1"/>
        <v>39.0625</v>
      </c>
    </row>
    <row r="25" spans="1:4" x14ac:dyDescent="0.3">
      <c r="A25" s="3">
        <v>24</v>
      </c>
      <c r="B25" s="3">
        <v>35</v>
      </c>
      <c r="C25" s="5">
        <f t="shared" si="0"/>
        <v>-9.75</v>
      </c>
      <c r="D25" s="6">
        <f t="shared" si="1"/>
        <v>95.0625</v>
      </c>
    </row>
    <row r="26" spans="1:4" x14ac:dyDescent="0.3">
      <c r="A26" s="3">
        <v>25</v>
      </c>
      <c r="B26" s="3">
        <v>50</v>
      </c>
      <c r="C26" s="5">
        <f t="shared" si="0"/>
        <v>5.25</v>
      </c>
      <c r="D26" s="6">
        <f t="shared" si="1"/>
        <v>27.5625</v>
      </c>
    </row>
    <row r="27" spans="1:4" x14ac:dyDescent="0.3">
      <c r="A27" s="3">
        <v>26</v>
      </c>
      <c r="B27" s="3">
        <v>37</v>
      </c>
      <c r="C27" s="5">
        <f t="shared" si="0"/>
        <v>-7.75</v>
      </c>
      <c r="D27" s="6">
        <f t="shared" si="1"/>
        <v>60.0625</v>
      </c>
    </row>
    <row r="28" spans="1:4" x14ac:dyDescent="0.3">
      <c r="A28" s="3">
        <v>27</v>
      </c>
      <c r="B28" s="3">
        <v>34</v>
      </c>
      <c r="C28" s="5">
        <f t="shared" si="0"/>
        <v>-10.75</v>
      </c>
      <c r="D28" s="6">
        <f t="shared" si="1"/>
        <v>115.5625</v>
      </c>
    </row>
    <row r="29" spans="1:4" x14ac:dyDescent="0.3">
      <c r="A29" s="3">
        <v>28</v>
      </c>
      <c r="B29" s="3">
        <v>54</v>
      </c>
      <c r="C29" s="5">
        <f t="shared" si="0"/>
        <v>9.25</v>
      </c>
      <c r="D29" s="6">
        <f t="shared" si="1"/>
        <v>85.5625</v>
      </c>
    </row>
    <row r="30" spans="1:4" x14ac:dyDescent="0.3">
      <c r="A30" s="3">
        <v>29</v>
      </c>
      <c r="B30" s="3">
        <v>40</v>
      </c>
      <c r="C30" s="5">
        <f t="shared" si="0"/>
        <v>-4.75</v>
      </c>
      <c r="D30" s="6">
        <f t="shared" si="1"/>
        <v>22.5625</v>
      </c>
    </row>
    <row r="31" spans="1:4" x14ac:dyDescent="0.3">
      <c r="A31" s="3">
        <v>30</v>
      </c>
      <c r="B31" s="3">
        <v>37</v>
      </c>
      <c r="C31" s="5">
        <f t="shared" si="0"/>
        <v>-7.75</v>
      </c>
      <c r="D31" s="6">
        <f t="shared" si="1"/>
        <v>60.0625</v>
      </c>
    </row>
    <row r="32" spans="1:4" x14ac:dyDescent="0.3">
      <c r="A32" s="3">
        <v>31</v>
      </c>
      <c r="B32" s="3">
        <v>46</v>
      </c>
      <c r="C32" s="5">
        <f t="shared" si="0"/>
        <v>1.25</v>
      </c>
      <c r="D32" s="6">
        <f t="shared" si="1"/>
        <v>1.5625</v>
      </c>
    </row>
    <row r="33" spans="1:4" x14ac:dyDescent="0.3">
      <c r="A33" s="3">
        <v>32</v>
      </c>
      <c r="B33" s="3">
        <v>54</v>
      </c>
      <c r="C33" s="5">
        <f t="shared" si="0"/>
        <v>9.25</v>
      </c>
      <c r="D33" s="6">
        <f t="shared" si="1"/>
        <v>85.5625</v>
      </c>
    </row>
    <row r="34" spans="1:4" x14ac:dyDescent="0.3">
      <c r="A34" s="3">
        <v>33</v>
      </c>
      <c r="B34" s="3">
        <v>42</v>
      </c>
      <c r="C34" s="5">
        <f t="shared" si="0"/>
        <v>-2.75</v>
      </c>
      <c r="D34" s="6">
        <f t="shared" si="1"/>
        <v>7.5625</v>
      </c>
    </row>
    <row r="35" spans="1:4" x14ac:dyDescent="0.3">
      <c r="A35" s="3">
        <v>34</v>
      </c>
      <c r="B35" s="3">
        <v>31</v>
      </c>
      <c r="C35" s="5">
        <f t="shared" si="0"/>
        <v>-13.75</v>
      </c>
      <c r="D35" s="6">
        <f t="shared" si="1"/>
        <v>189.0625</v>
      </c>
    </row>
    <row r="36" spans="1:4" x14ac:dyDescent="0.3">
      <c r="A36" s="3">
        <v>35</v>
      </c>
      <c r="B36" s="3">
        <v>33</v>
      </c>
      <c r="C36" s="5">
        <f t="shared" si="0"/>
        <v>-11.75</v>
      </c>
      <c r="D36" s="6">
        <f t="shared" si="1"/>
        <v>138.0625</v>
      </c>
    </row>
    <row r="37" spans="1:4" x14ac:dyDescent="0.3">
      <c r="A37" s="3">
        <v>36</v>
      </c>
      <c r="B37" s="3">
        <v>47</v>
      </c>
      <c r="C37" s="5">
        <f t="shared" si="0"/>
        <v>2.25</v>
      </c>
      <c r="D37" s="6">
        <f t="shared" si="1"/>
        <v>5.0625</v>
      </c>
    </row>
    <row r="38" spans="1:4" x14ac:dyDescent="0.3">
      <c r="A38" s="3">
        <v>37</v>
      </c>
      <c r="B38" s="3">
        <v>52</v>
      </c>
      <c r="C38" s="5">
        <f t="shared" si="0"/>
        <v>7.25</v>
      </c>
      <c r="D38" s="6">
        <f t="shared" si="1"/>
        <v>52.5625</v>
      </c>
    </row>
    <row r="39" spans="1:4" x14ac:dyDescent="0.3">
      <c r="A39" s="3">
        <v>38</v>
      </c>
      <c r="B39" s="3">
        <v>39</v>
      </c>
      <c r="C39" s="5">
        <f t="shared" si="0"/>
        <v>-5.75</v>
      </c>
      <c r="D39" s="6">
        <f t="shared" si="1"/>
        <v>33.0625</v>
      </c>
    </row>
    <row r="40" spans="1:4" x14ac:dyDescent="0.3">
      <c r="A40" s="3">
        <v>39</v>
      </c>
      <c r="B40" s="3">
        <v>43</v>
      </c>
      <c r="C40" s="5">
        <f t="shared" si="0"/>
        <v>-1.75</v>
      </c>
      <c r="D40" s="6">
        <f t="shared" si="1"/>
        <v>3.0625</v>
      </c>
    </row>
    <row r="41" spans="1:4" x14ac:dyDescent="0.3">
      <c r="A41" s="3">
        <v>40</v>
      </c>
      <c r="B41" s="3">
        <v>55</v>
      </c>
      <c r="C41" s="5">
        <f t="shared" si="0"/>
        <v>10.25</v>
      </c>
      <c r="D41" s="6">
        <f t="shared" si="1"/>
        <v>105.0625</v>
      </c>
    </row>
    <row r="42" spans="1:4" x14ac:dyDescent="0.3">
      <c r="A42" s="3">
        <v>41</v>
      </c>
      <c r="B42" s="3">
        <v>47</v>
      </c>
      <c r="C42" s="5">
        <f t="shared" si="0"/>
        <v>2.25</v>
      </c>
      <c r="D42" s="6">
        <f t="shared" si="1"/>
        <v>5.0625</v>
      </c>
    </row>
    <row r="43" spans="1:4" x14ac:dyDescent="0.3">
      <c r="A43" s="3">
        <v>42</v>
      </c>
      <c r="B43" s="3">
        <v>38</v>
      </c>
      <c r="C43" s="5">
        <f t="shared" si="0"/>
        <v>-6.75</v>
      </c>
      <c r="D43" s="6">
        <f t="shared" si="1"/>
        <v>45.5625</v>
      </c>
    </row>
    <row r="44" spans="1:4" x14ac:dyDescent="0.3">
      <c r="A44" s="3">
        <v>43</v>
      </c>
      <c r="B44" s="3">
        <v>30</v>
      </c>
      <c r="C44" s="5">
        <f t="shared" si="0"/>
        <v>-14.75</v>
      </c>
      <c r="D44" s="6">
        <f t="shared" si="1"/>
        <v>217.5625</v>
      </c>
    </row>
    <row r="45" spans="1:4" x14ac:dyDescent="0.3">
      <c r="A45" s="3">
        <v>44</v>
      </c>
      <c r="B45" s="3">
        <v>54</v>
      </c>
      <c r="C45" s="5">
        <f t="shared" si="0"/>
        <v>9.25</v>
      </c>
      <c r="D45" s="6">
        <f t="shared" si="1"/>
        <v>85.5625</v>
      </c>
    </row>
    <row r="46" spans="1:4" x14ac:dyDescent="0.3">
      <c r="A46" s="3">
        <v>45</v>
      </c>
      <c r="B46" s="3">
        <v>38</v>
      </c>
      <c r="C46" s="5">
        <f t="shared" si="0"/>
        <v>-6.75</v>
      </c>
      <c r="D46" s="6">
        <f t="shared" si="1"/>
        <v>45.5625</v>
      </c>
    </row>
    <row r="47" spans="1:4" x14ac:dyDescent="0.3">
      <c r="A47" s="3">
        <v>46</v>
      </c>
      <c r="B47" s="3">
        <v>35</v>
      </c>
      <c r="C47" s="5">
        <f t="shared" si="0"/>
        <v>-9.75</v>
      </c>
      <c r="D47" s="6">
        <f t="shared" si="1"/>
        <v>95.0625</v>
      </c>
    </row>
    <row r="48" spans="1:4" x14ac:dyDescent="0.3">
      <c r="A48" s="3">
        <v>47</v>
      </c>
      <c r="B48" s="3">
        <v>35</v>
      </c>
      <c r="C48" s="5">
        <f t="shared" si="0"/>
        <v>-9.75</v>
      </c>
      <c r="D48" s="6">
        <f t="shared" si="1"/>
        <v>95.0625</v>
      </c>
    </row>
    <row r="49" spans="1:4" x14ac:dyDescent="0.3">
      <c r="A49" s="3">
        <v>48</v>
      </c>
      <c r="B49" s="3">
        <v>59</v>
      </c>
      <c r="C49" s="5">
        <f t="shared" si="0"/>
        <v>14.25</v>
      </c>
      <c r="D49" s="6">
        <f t="shared" si="1"/>
        <v>203.0625</v>
      </c>
    </row>
    <row r="50" spans="1:4" x14ac:dyDescent="0.3">
      <c r="A50" s="3">
        <v>49</v>
      </c>
      <c r="B50" s="3">
        <v>39</v>
      </c>
      <c r="C50" s="5">
        <f t="shared" si="0"/>
        <v>-5.75</v>
      </c>
      <c r="D50" s="6">
        <f t="shared" si="1"/>
        <v>33.0625</v>
      </c>
    </row>
    <row r="51" spans="1:4" x14ac:dyDescent="0.3">
      <c r="A51" s="3">
        <v>50</v>
      </c>
      <c r="B51" s="3">
        <v>42</v>
      </c>
      <c r="C51" s="5">
        <f t="shared" si="0"/>
        <v>-2.75</v>
      </c>
      <c r="D51" s="6">
        <f t="shared" si="1"/>
        <v>7.5625</v>
      </c>
    </row>
    <row r="52" spans="1:4" x14ac:dyDescent="0.3">
      <c r="A52" s="3">
        <v>51</v>
      </c>
      <c r="B52" s="3">
        <v>48</v>
      </c>
      <c r="C52" s="5">
        <f t="shared" si="0"/>
        <v>3.25</v>
      </c>
      <c r="D52" s="6">
        <f t="shared" si="1"/>
        <v>10.5625</v>
      </c>
    </row>
    <row r="53" spans="1:4" x14ac:dyDescent="0.3">
      <c r="A53" s="3">
        <v>52</v>
      </c>
      <c r="B53" s="3">
        <v>59</v>
      </c>
      <c r="C53" s="5">
        <f t="shared" si="0"/>
        <v>14.25</v>
      </c>
      <c r="D53" s="6">
        <f t="shared" si="1"/>
        <v>203.0625</v>
      </c>
    </row>
    <row r="54" spans="1:4" x14ac:dyDescent="0.3">
      <c r="A54" s="3">
        <v>53</v>
      </c>
      <c r="B54" s="3">
        <v>52</v>
      </c>
      <c r="C54" s="5">
        <f t="shared" si="0"/>
        <v>7.25</v>
      </c>
      <c r="D54" s="6">
        <f t="shared" si="1"/>
        <v>52.5625</v>
      </c>
    </row>
    <row r="55" spans="1:4" x14ac:dyDescent="0.3">
      <c r="A55" s="3">
        <v>54</v>
      </c>
      <c r="B55" s="3">
        <v>59</v>
      </c>
      <c r="C55" s="5">
        <f t="shared" si="0"/>
        <v>14.25</v>
      </c>
      <c r="D55" s="6">
        <f t="shared" si="1"/>
        <v>203.0625</v>
      </c>
    </row>
    <row r="56" spans="1:4" x14ac:dyDescent="0.3">
      <c r="A56" s="3">
        <v>55</v>
      </c>
      <c r="B56" s="3">
        <v>39</v>
      </c>
      <c r="C56" s="5">
        <f t="shared" si="0"/>
        <v>-5.75</v>
      </c>
      <c r="D56" s="6">
        <f t="shared" si="1"/>
        <v>33.0625</v>
      </c>
    </row>
    <row r="57" spans="1:4" x14ac:dyDescent="0.3">
      <c r="A57" s="3">
        <v>56</v>
      </c>
      <c r="B57" s="3">
        <v>45</v>
      </c>
      <c r="C57" s="5">
        <f t="shared" si="0"/>
        <v>0.25</v>
      </c>
      <c r="D57" s="6">
        <f t="shared" si="1"/>
        <v>6.25E-2</v>
      </c>
    </row>
    <row r="58" spans="1:4" x14ac:dyDescent="0.3">
      <c r="A58" s="3">
        <v>57</v>
      </c>
      <c r="B58" s="3">
        <v>46</v>
      </c>
      <c r="C58" s="5">
        <f t="shared" si="0"/>
        <v>1.25</v>
      </c>
      <c r="D58" s="6">
        <f t="shared" si="1"/>
        <v>1.5625</v>
      </c>
    </row>
    <row r="59" spans="1:4" x14ac:dyDescent="0.3">
      <c r="A59" s="3">
        <v>58</v>
      </c>
      <c r="B59" s="3">
        <v>36</v>
      </c>
      <c r="C59" s="5">
        <f t="shared" si="0"/>
        <v>-8.75</v>
      </c>
      <c r="D59" s="6">
        <f t="shared" si="1"/>
        <v>76.5625</v>
      </c>
    </row>
    <row r="60" spans="1:4" x14ac:dyDescent="0.3">
      <c r="A60" s="3">
        <v>59</v>
      </c>
      <c r="B60" s="3">
        <v>40</v>
      </c>
      <c r="C60" s="5">
        <f t="shared" si="0"/>
        <v>-4.75</v>
      </c>
      <c r="D60" s="6">
        <f t="shared" si="1"/>
        <v>22.5625</v>
      </c>
    </row>
    <row r="61" spans="1:4" x14ac:dyDescent="0.3">
      <c r="A61" s="3">
        <v>60</v>
      </c>
      <c r="B61" s="3">
        <v>40</v>
      </c>
      <c r="C61" s="5">
        <f t="shared" si="0"/>
        <v>-4.75</v>
      </c>
      <c r="D61" s="6">
        <f t="shared" si="1"/>
        <v>22.5625</v>
      </c>
    </row>
    <row r="62" spans="1:4" x14ac:dyDescent="0.3">
      <c r="A62" s="7" t="s">
        <v>5</v>
      </c>
      <c r="B62" s="8">
        <f>AVERAGE(B2:B61)</f>
        <v>44.75</v>
      </c>
      <c r="C62" s="9" t="s">
        <v>6</v>
      </c>
      <c r="D62" s="10">
        <f>SUM(D2:D61)</f>
        <v>4129.25</v>
      </c>
    </row>
    <row r="63" spans="1:4" x14ac:dyDescent="0.3">
      <c r="A63" s="7"/>
      <c r="B63" s="7"/>
      <c r="C63" s="9" t="s">
        <v>7</v>
      </c>
      <c r="D63" s="11">
        <f>D62/(60-1)</f>
        <v>69.987288135593218</v>
      </c>
    </row>
    <row r="64" spans="1:4" x14ac:dyDescent="0.3">
      <c r="A64" s="7"/>
      <c r="B64" s="7"/>
      <c r="C64" s="7" t="s">
        <v>8</v>
      </c>
      <c r="D64" s="7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E7BB-8B1F-4687-84E1-5A862F4837AD}">
  <dimension ref="A1:B66"/>
  <sheetViews>
    <sheetView topLeftCell="A40" workbookViewId="0">
      <selection activeCell="B67" sqref="B67"/>
    </sheetView>
  </sheetViews>
  <sheetFormatPr defaultRowHeight="16.5" x14ac:dyDescent="0.3"/>
  <sheetData>
    <row r="1" spans="1:2" x14ac:dyDescent="0.3">
      <c r="A1" s="1" t="s">
        <v>2</v>
      </c>
      <c r="B1" s="2" t="s">
        <v>1</v>
      </c>
    </row>
    <row r="2" spans="1:2" x14ac:dyDescent="0.3">
      <c r="A2" s="3">
        <v>1</v>
      </c>
      <c r="B2" s="3">
        <v>41</v>
      </c>
    </row>
    <row r="3" spans="1:2" x14ac:dyDescent="0.3">
      <c r="A3" s="3">
        <v>2</v>
      </c>
      <c r="B3" s="3">
        <v>30</v>
      </c>
    </row>
    <row r="4" spans="1:2" x14ac:dyDescent="0.3">
      <c r="A4" s="3">
        <v>3</v>
      </c>
      <c r="B4" s="3">
        <v>44</v>
      </c>
    </row>
    <row r="5" spans="1:2" x14ac:dyDescent="0.3">
      <c r="A5" s="3">
        <v>4</v>
      </c>
      <c r="B5" s="3">
        <v>54</v>
      </c>
    </row>
    <row r="6" spans="1:2" x14ac:dyDescent="0.3">
      <c r="A6" s="3">
        <v>5</v>
      </c>
      <c r="B6" s="3">
        <v>57</v>
      </c>
    </row>
    <row r="7" spans="1:2" x14ac:dyDescent="0.3">
      <c r="A7" s="3">
        <v>6</v>
      </c>
      <c r="B7" s="3">
        <v>48</v>
      </c>
    </row>
    <row r="8" spans="1:2" x14ac:dyDescent="0.3">
      <c r="A8" s="3">
        <v>7</v>
      </c>
      <c r="B8" s="3">
        <v>53</v>
      </c>
    </row>
    <row r="9" spans="1:2" x14ac:dyDescent="0.3">
      <c r="A9" s="3">
        <v>8</v>
      </c>
      <c r="B9" s="3">
        <v>35</v>
      </c>
    </row>
    <row r="10" spans="1:2" x14ac:dyDescent="0.3">
      <c r="A10" s="3">
        <v>9</v>
      </c>
      <c r="B10" s="3">
        <v>38</v>
      </c>
    </row>
    <row r="11" spans="1:2" x14ac:dyDescent="0.3">
      <c r="A11" s="3">
        <v>10</v>
      </c>
      <c r="B11" s="3">
        <v>46</v>
      </c>
    </row>
    <row r="12" spans="1:2" x14ac:dyDescent="0.3">
      <c r="A12" s="3">
        <v>11</v>
      </c>
      <c r="B12" s="3">
        <v>46</v>
      </c>
    </row>
    <row r="13" spans="1:2" x14ac:dyDescent="0.3">
      <c r="A13" s="3">
        <v>12</v>
      </c>
      <c r="B13" s="3">
        <v>35</v>
      </c>
    </row>
    <row r="14" spans="1:2" x14ac:dyDescent="0.3">
      <c r="A14" s="3">
        <v>13</v>
      </c>
      <c r="B14" s="3">
        <v>54</v>
      </c>
    </row>
    <row r="15" spans="1:2" x14ac:dyDescent="0.3">
      <c r="A15" s="3">
        <v>14</v>
      </c>
      <c r="B15" s="3">
        <v>58</v>
      </c>
    </row>
    <row r="16" spans="1:2" x14ac:dyDescent="0.3">
      <c r="A16" s="3">
        <v>15</v>
      </c>
      <c r="B16" s="3">
        <v>52</v>
      </c>
    </row>
    <row r="17" spans="1:2" x14ac:dyDescent="0.3">
      <c r="A17" s="3">
        <v>16</v>
      </c>
      <c r="B17" s="3">
        <v>35</v>
      </c>
    </row>
    <row r="18" spans="1:2" x14ac:dyDescent="0.3">
      <c r="A18" s="3">
        <v>17</v>
      </c>
      <c r="B18" s="3">
        <v>42</v>
      </c>
    </row>
    <row r="19" spans="1:2" x14ac:dyDescent="0.3">
      <c r="A19" s="3">
        <v>18</v>
      </c>
      <c r="B19" s="3">
        <v>57</v>
      </c>
    </row>
    <row r="20" spans="1:2" x14ac:dyDescent="0.3">
      <c r="A20" s="3">
        <v>19</v>
      </c>
      <c r="B20" s="3">
        <v>43</v>
      </c>
    </row>
    <row r="21" spans="1:2" x14ac:dyDescent="0.3">
      <c r="A21" s="3">
        <v>20</v>
      </c>
      <c r="B21" s="3">
        <v>52</v>
      </c>
    </row>
    <row r="22" spans="1:2" x14ac:dyDescent="0.3">
      <c r="A22" s="3">
        <v>21</v>
      </c>
      <c r="B22" s="3">
        <v>48</v>
      </c>
    </row>
    <row r="23" spans="1:2" x14ac:dyDescent="0.3">
      <c r="A23" s="3">
        <v>22</v>
      </c>
      <c r="B23" s="3">
        <v>56</v>
      </c>
    </row>
    <row r="24" spans="1:2" x14ac:dyDescent="0.3">
      <c r="A24" s="3">
        <v>23</v>
      </c>
      <c r="B24" s="3">
        <v>51</v>
      </c>
    </row>
    <row r="25" spans="1:2" x14ac:dyDescent="0.3">
      <c r="A25" s="3">
        <v>24</v>
      </c>
      <c r="B25" s="3">
        <v>35</v>
      </c>
    </row>
    <row r="26" spans="1:2" x14ac:dyDescent="0.3">
      <c r="A26" s="3">
        <v>25</v>
      </c>
      <c r="B26" s="3">
        <v>50</v>
      </c>
    </row>
    <row r="27" spans="1:2" x14ac:dyDescent="0.3">
      <c r="A27" s="3">
        <v>26</v>
      </c>
      <c r="B27" s="3">
        <v>37</v>
      </c>
    </row>
    <row r="28" spans="1:2" x14ac:dyDescent="0.3">
      <c r="A28" s="3">
        <v>27</v>
      </c>
      <c r="B28" s="3">
        <v>34</v>
      </c>
    </row>
    <row r="29" spans="1:2" x14ac:dyDescent="0.3">
      <c r="A29" s="3">
        <v>28</v>
      </c>
      <c r="B29" s="3">
        <v>54</v>
      </c>
    </row>
    <row r="30" spans="1:2" x14ac:dyDescent="0.3">
      <c r="A30" s="3">
        <v>29</v>
      </c>
      <c r="B30" s="3">
        <v>40</v>
      </c>
    </row>
    <row r="31" spans="1:2" x14ac:dyDescent="0.3">
      <c r="A31" s="3">
        <v>30</v>
      </c>
      <c r="B31" s="3">
        <v>37</v>
      </c>
    </row>
    <row r="32" spans="1:2" x14ac:dyDescent="0.3">
      <c r="A32" s="3">
        <v>31</v>
      </c>
      <c r="B32" s="3">
        <v>46</v>
      </c>
    </row>
    <row r="33" spans="1:2" x14ac:dyDescent="0.3">
      <c r="A33" s="3">
        <v>32</v>
      </c>
      <c r="B33" s="3">
        <v>54</v>
      </c>
    </row>
    <row r="34" spans="1:2" x14ac:dyDescent="0.3">
      <c r="A34" s="3">
        <v>33</v>
      </c>
      <c r="B34" s="3">
        <v>42</v>
      </c>
    </row>
    <row r="35" spans="1:2" x14ac:dyDescent="0.3">
      <c r="A35" s="3">
        <v>34</v>
      </c>
      <c r="B35" s="3">
        <v>31</v>
      </c>
    </row>
    <row r="36" spans="1:2" x14ac:dyDescent="0.3">
      <c r="A36" s="3">
        <v>35</v>
      </c>
      <c r="B36" s="3">
        <v>33</v>
      </c>
    </row>
    <row r="37" spans="1:2" x14ac:dyDescent="0.3">
      <c r="A37" s="3">
        <v>36</v>
      </c>
      <c r="B37" s="3">
        <v>47</v>
      </c>
    </row>
    <row r="38" spans="1:2" x14ac:dyDescent="0.3">
      <c r="A38" s="3">
        <v>37</v>
      </c>
      <c r="B38" s="3">
        <v>52</v>
      </c>
    </row>
    <row r="39" spans="1:2" x14ac:dyDescent="0.3">
      <c r="A39" s="3">
        <v>38</v>
      </c>
      <c r="B39" s="3">
        <v>39</v>
      </c>
    </row>
    <row r="40" spans="1:2" x14ac:dyDescent="0.3">
      <c r="A40" s="3">
        <v>39</v>
      </c>
      <c r="B40" s="3">
        <v>43</v>
      </c>
    </row>
    <row r="41" spans="1:2" x14ac:dyDescent="0.3">
      <c r="A41" s="3">
        <v>40</v>
      </c>
      <c r="B41" s="3">
        <v>55</v>
      </c>
    </row>
    <row r="42" spans="1:2" x14ac:dyDescent="0.3">
      <c r="A42" s="3">
        <v>41</v>
      </c>
      <c r="B42" s="3">
        <v>47</v>
      </c>
    </row>
    <row r="43" spans="1:2" x14ac:dyDescent="0.3">
      <c r="A43" s="3">
        <v>42</v>
      </c>
      <c r="B43" s="3">
        <v>38</v>
      </c>
    </row>
    <row r="44" spans="1:2" x14ac:dyDescent="0.3">
      <c r="A44" s="3">
        <v>43</v>
      </c>
      <c r="B44" s="3">
        <v>30</v>
      </c>
    </row>
    <row r="45" spans="1:2" x14ac:dyDescent="0.3">
      <c r="A45" s="3">
        <v>44</v>
      </c>
      <c r="B45" s="3">
        <v>54</v>
      </c>
    </row>
    <row r="46" spans="1:2" x14ac:dyDescent="0.3">
      <c r="A46" s="3">
        <v>45</v>
      </c>
      <c r="B46" s="3">
        <v>38</v>
      </c>
    </row>
    <row r="47" spans="1:2" x14ac:dyDescent="0.3">
      <c r="A47" s="3">
        <v>46</v>
      </c>
      <c r="B47" s="3">
        <v>35</v>
      </c>
    </row>
    <row r="48" spans="1:2" x14ac:dyDescent="0.3">
      <c r="A48" s="3">
        <v>47</v>
      </c>
      <c r="B48" s="3">
        <v>35</v>
      </c>
    </row>
    <row r="49" spans="1:2" x14ac:dyDescent="0.3">
      <c r="A49" s="3">
        <v>48</v>
      </c>
      <c r="B49" s="3">
        <v>59</v>
      </c>
    </row>
    <row r="50" spans="1:2" x14ac:dyDescent="0.3">
      <c r="A50" s="3">
        <v>49</v>
      </c>
      <c r="B50" s="3">
        <v>39</v>
      </c>
    </row>
    <row r="51" spans="1:2" x14ac:dyDescent="0.3">
      <c r="A51" s="3">
        <v>50</v>
      </c>
      <c r="B51" s="3">
        <v>42</v>
      </c>
    </row>
    <row r="52" spans="1:2" x14ac:dyDescent="0.3">
      <c r="A52" s="3">
        <v>51</v>
      </c>
      <c r="B52" s="3">
        <v>48</v>
      </c>
    </row>
    <row r="53" spans="1:2" x14ac:dyDescent="0.3">
      <c r="A53" s="3">
        <v>52</v>
      </c>
      <c r="B53" s="3">
        <v>59</v>
      </c>
    </row>
    <row r="54" spans="1:2" x14ac:dyDescent="0.3">
      <c r="A54" s="3">
        <v>53</v>
      </c>
      <c r="B54" s="3">
        <v>52</v>
      </c>
    </row>
    <row r="55" spans="1:2" x14ac:dyDescent="0.3">
      <c r="A55" s="3">
        <v>54</v>
      </c>
      <c r="B55" s="3">
        <v>59</v>
      </c>
    </row>
    <row r="56" spans="1:2" x14ac:dyDescent="0.3">
      <c r="A56" s="3">
        <v>55</v>
      </c>
      <c r="B56" s="3">
        <v>39</v>
      </c>
    </row>
    <row r="57" spans="1:2" x14ac:dyDescent="0.3">
      <c r="A57" s="3">
        <v>56</v>
      </c>
      <c r="B57" s="3">
        <v>45</v>
      </c>
    </row>
    <row r="58" spans="1:2" x14ac:dyDescent="0.3">
      <c r="A58" s="3">
        <v>57</v>
      </c>
      <c r="B58" s="3">
        <v>46</v>
      </c>
    </row>
    <row r="59" spans="1:2" x14ac:dyDescent="0.3">
      <c r="A59" s="3">
        <v>58</v>
      </c>
      <c r="B59" s="3">
        <v>36</v>
      </c>
    </row>
    <row r="60" spans="1:2" x14ac:dyDescent="0.3">
      <c r="A60" s="3">
        <v>59</v>
      </c>
      <c r="B60" s="3">
        <v>40</v>
      </c>
    </row>
    <row r="61" spans="1:2" x14ac:dyDescent="0.3">
      <c r="A61" s="3">
        <v>60</v>
      </c>
      <c r="B61" s="3">
        <v>40</v>
      </c>
    </row>
    <row r="62" spans="1:2" x14ac:dyDescent="0.3">
      <c r="A62" t="s">
        <v>17</v>
      </c>
      <c r="B62">
        <f>QUARTILE(B2:B61,1)</f>
        <v>38</v>
      </c>
    </row>
    <row r="63" spans="1:2" x14ac:dyDescent="0.3">
      <c r="A63" t="s">
        <v>18</v>
      </c>
      <c r="B63">
        <f>QUARTILE(B3:B62,3)</f>
        <v>52</v>
      </c>
    </row>
    <row r="64" spans="1:2" x14ac:dyDescent="0.3">
      <c r="A64" t="s">
        <v>19</v>
      </c>
      <c r="B64">
        <f>B63-B62</f>
        <v>14</v>
      </c>
    </row>
    <row r="65" spans="1:2" x14ac:dyDescent="0.3">
      <c r="A65" t="s">
        <v>20</v>
      </c>
      <c r="B65">
        <f>B63+1.5*B64</f>
        <v>73</v>
      </c>
    </row>
    <row r="66" spans="1:2" x14ac:dyDescent="0.3">
      <c r="A66" t="s">
        <v>21</v>
      </c>
      <c r="B66">
        <f>B62-1.5*B64</f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36FAB-0198-4699-93B6-762C98254C39}">
  <dimension ref="A1:E61"/>
  <sheetViews>
    <sheetView tabSelected="1" workbookViewId="0">
      <selection activeCell="L7" sqref="L7"/>
    </sheetView>
  </sheetViews>
  <sheetFormatPr defaultRowHeight="16.5" x14ac:dyDescent="0.3"/>
  <sheetData>
    <row r="1" spans="1:5" ht="17.25" thickBot="1" x14ac:dyDescent="0.35">
      <c r="A1" s="1" t="s">
        <v>2</v>
      </c>
      <c r="B1" s="2" t="s">
        <v>1</v>
      </c>
    </row>
    <row r="2" spans="1:5" x14ac:dyDescent="0.3">
      <c r="A2" s="3">
        <v>1</v>
      </c>
      <c r="B2" s="3">
        <v>41</v>
      </c>
      <c r="D2" s="14" t="s">
        <v>22</v>
      </c>
      <c r="E2" s="14"/>
    </row>
    <row r="3" spans="1:5" x14ac:dyDescent="0.3">
      <c r="A3" s="3">
        <v>2</v>
      </c>
      <c r="B3" s="3">
        <v>30</v>
      </c>
      <c r="D3" s="12"/>
      <c r="E3" s="12"/>
    </row>
    <row r="4" spans="1:5" x14ac:dyDescent="0.3">
      <c r="A4" s="3">
        <v>3</v>
      </c>
      <c r="B4" s="3">
        <v>44</v>
      </c>
      <c r="D4" s="12" t="s">
        <v>10</v>
      </c>
      <c r="E4" s="12">
        <v>44.75</v>
      </c>
    </row>
    <row r="5" spans="1:5" x14ac:dyDescent="0.3">
      <c r="A5" s="3">
        <v>4</v>
      </c>
      <c r="B5" s="3">
        <v>54</v>
      </c>
      <c r="D5" s="12" t="s">
        <v>23</v>
      </c>
      <c r="E5" s="12">
        <v>1.0800253711186081</v>
      </c>
    </row>
    <row r="6" spans="1:5" x14ac:dyDescent="0.3">
      <c r="A6" s="3">
        <v>5</v>
      </c>
      <c r="B6" s="3">
        <v>57</v>
      </c>
      <c r="D6" s="12" t="s">
        <v>24</v>
      </c>
      <c r="E6" s="12">
        <v>44.5</v>
      </c>
    </row>
    <row r="7" spans="1:5" x14ac:dyDescent="0.3">
      <c r="A7" s="3">
        <v>6</v>
      </c>
      <c r="B7" s="3">
        <v>48</v>
      </c>
      <c r="D7" s="12" t="s">
        <v>25</v>
      </c>
      <c r="E7" s="12">
        <v>35</v>
      </c>
    </row>
    <row r="8" spans="1:5" x14ac:dyDescent="0.3">
      <c r="A8" s="3">
        <v>7</v>
      </c>
      <c r="B8" s="3">
        <v>53</v>
      </c>
      <c r="D8" s="12" t="s">
        <v>26</v>
      </c>
      <c r="E8" s="12">
        <v>8.3658405516477075</v>
      </c>
    </row>
    <row r="9" spans="1:5" x14ac:dyDescent="0.3">
      <c r="A9" s="3">
        <v>8</v>
      </c>
      <c r="B9" s="3">
        <v>35</v>
      </c>
      <c r="D9" s="12" t="s">
        <v>27</v>
      </c>
      <c r="E9" s="12">
        <v>69.987288135593218</v>
      </c>
    </row>
    <row r="10" spans="1:5" x14ac:dyDescent="0.3">
      <c r="A10" s="3">
        <v>9</v>
      </c>
      <c r="B10" s="3">
        <v>38</v>
      </c>
      <c r="D10" s="12" t="s">
        <v>28</v>
      </c>
      <c r="E10" s="12">
        <v>-1.1547756177229509</v>
      </c>
    </row>
    <row r="11" spans="1:5" x14ac:dyDescent="0.3">
      <c r="A11" s="3">
        <v>10</v>
      </c>
      <c r="B11" s="3">
        <v>46</v>
      </c>
      <c r="D11" s="12" t="s">
        <v>29</v>
      </c>
      <c r="E11" s="12">
        <v>8.2797647610531558E-2</v>
      </c>
    </row>
    <row r="12" spans="1:5" x14ac:dyDescent="0.3">
      <c r="A12" s="3">
        <v>11</v>
      </c>
      <c r="B12" s="3">
        <v>46</v>
      </c>
      <c r="D12" s="12" t="s">
        <v>30</v>
      </c>
      <c r="E12" s="12">
        <v>29</v>
      </c>
    </row>
    <row r="13" spans="1:5" x14ac:dyDescent="0.3">
      <c r="A13" s="3">
        <v>12</v>
      </c>
      <c r="B13" s="3">
        <v>35</v>
      </c>
      <c r="D13" s="12" t="s">
        <v>31</v>
      </c>
      <c r="E13" s="12">
        <v>30</v>
      </c>
    </row>
    <row r="14" spans="1:5" x14ac:dyDescent="0.3">
      <c r="A14" s="3">
        <v>13</v>
      </c>
      <c r="B14" s="3">
        <v>54</v>
      </c>
      <c r="D14" s="12" t="s">
        <v>32</v>
      </c>
      <c r="E14" s="12">
        <v>59</v>
      </c>
    </row>
    <row r="15" spans="1:5" x14ac:dyDescent="0.3">
      <c r="A15" s="3">
        <v>14</v>
      </c>
      <c r="B15" s="3">
        <v>58</v>
      </c>
      <c r="D15" s="12" t="s">
        <v>33</v>
      </c>
      <c r="E15" s="12">
        <v>2685</v>
      </c>
    </row>
    <row r="16" spans="1:5" ht="17.25" thickBot="1" x14ac:dyDescent="0.35">
      <c r="A16" s="3">
        <v>15</v>
      </c>
      <c r="B16" s="3">
        <v>52</v>
      </c>
      <c r="D16" s="13" t="s">
        <v>34</v>
      </c>
      <c r="E16" s="13">
        <v>60</v>
      </c>
    </row>
    <row r="17" spans="1:5" x14ac:dyDescent="0.3">
      <c r="A17" s="3">
        <v>16</v>
      </c>
      <c r="B17" s="3">
        <v>35</v>
      </c>
      <c r="E17">
        <v>1</v>
      </c>
    </row>
    <row r="18" spans="1:5" x14ac:dyDescent="0.3">
      <c r="A18" s="3">
        <v>17</v>
      </c>
      <c r="B18" s="3">
        <v>42</v>
      </c>
    </row>
    <row r="19" spans="1:5" x14ac:dyDescent="0.3">
      <c r="A19" s="3">
        <v>18</v>
      </c>
      <c r="B19" s="3">
        <v>57</v>
      </c>
    </row>
    <row r="20" spans="1:5" x14ac:dyDescent="0.3">
      <c r="A20" s="3">
        <v>19</v>
      </c>
      <c r="B20" s="3">
        <v>43</v>
      </c>
    </row>
    <row r="21" spans="1:5" x14ac:dyDescent="0.3">
      <c r="A21" s="3">
        <v>20</v>
      </c>
      <c r="B21" s="3">
        <v>52</v>
      </c>
    </row>
    <row r="22" spans="1:5" x14ac:dyDescent="0.3">
      <c r="A22" s="3">
        <v>21</v>
      </c>
      <c r="B22" s="3">
        <v>48</v>
      </c>
    </row>
    <row r="23" spans="1:5" x14ac:dyDescent="0.3">
      <c r="A23" s="3">
        <v>22</v>
      </c>
      <c r="B23" s="3">
        <v>56</v>
      </c>
    </row>
    <row r="24" spans="1:5" x14ac:dyDescent="0.3">
      <c r="A24" s="3">
        <v>23</v>
      </c>
      <c r="B24" s="3">
        <v>51</v>
      </c>
    </row>
    <row r="25" spans="1:5" x14ac:dyDescent="0.3">
      <c r="A25" s="3">
        <v>24</v>
      </c>
      <c r="B25" s="3">
        <v>35</v>
      </c>
    </row>
    <row r="26" spans="1:5" x14ac:dyDescent="0.3">
      <c r="A26" s="3">
        <v>25</v>
      </c>
      <c r="B26" s="3">
        <v>50</v>
      </c>
    </row>
    <row r="27" spans="1:5" x14ac:dyDescent="0.3">
      <c r="A27" s="3">
        <v>26</v>
      </c>
      <c r="B27" s="3">
        <v>37</v>
      </c>
    </row>
    <row r="28" spans="1:5" x14ac:dyDescent="0.3">
      <c r="A28" s="3">
        <v>27</v>
      </c>
      <c r="B28" s="3">
        <v>34</v>
      </c>
    </row>
    <row r="29" spans="1:5" x14ac:dyDescent="0.3">
      <c r="A29" s="3">
        <v>28</v>
      </c>
      <c r="B29" s="3">
        <v>54</v>
      </c>
    </row>
    <row r="30" spans="1:5" x14ac:dyDescent="0.3">
      <c r="A30" s="3">
        <v>29</v>
      </c>
      <c r="B30" s="3">
        <v>40</v>
      </c>
    </row>
    <row r="31" spans="1:5" x14ac:dyDescent="0.3">
      <c r="A31" s="3">
        <v>30</v>
      </c>
      <c r="B31" s="3">
        <v>37</v>
      </c>
    </row>
    <row r="32" spans="1:5" x14ac:dyDescent="0.3">
      <c r="A32" s="3">
        <v>31</v>
      </c>
      <c r="B32" s="3">
        <v>46</v>
      </c>
    </row>
    <row r="33" spans="1:2" x14ac:dyDescent="0.3">
      <c r="A33" s="3">
        <v>32</v>
      </c>
      <c r="B33" s="3">
        <v>54</v>
      </c>
    </row>
    <row r="34" spans="1:2" x14ac:dyDescent="0.3">
      <c r="A34" s="3">
        <v>33</v>
      </c>
      <c r="B34" s="3">
        <v>42</v>
      </c>
    </row>
    <row r="35" spans="1:2" x14ac:dyDescent="0.3">
      <c r="A35" s="3">
        <v>34</v>
      </c>
      <c r="B35" s="3">
        <v>31</v>
      </c>
    </row>
    <row r="36" spans="1:2" x14ac:dyDescent="0.3">
      <c r="A36" s="3">
        <v>35</v>
      </c>
      <c r="B36" s="3">
        <v>33</v>
      </c>
    </row>
    <row r="37" spans="1:2" x14ac:dyDescent="0.3">
      <c r="A37" s="3">
        <v>36</v>
      </c>
      <c r="B37" s="3">
        <v>47</v>
      </c>
    </row>
    <row r="38" spans="1:2" x14ac:dyDescent="0.3">
      <c r="A38" s="3">
        <v>37</v>
      </c>
      <c r="B38" s="3">
        <v>52</v>
      </c>
    </row>
    <row r="39" spans="1:2" x14ac:dyDescent="0.3">
      <c r="A39" s="3">
        <v>38</v>
      </c>
      <c r="B39" s="3">
        <v>39</v>
      </c>
    </row>
    <row r="40" spans="1:2" x14ac:dyDescent="0.3">
      <c r="A40" s="3">
        <v>39</v>
      </c>
      <c r="B40" s="3">
        <v>43</v>
      </c>
    </row>
    <row r="41" spans="1:2" x14ac:dyDescent="0.3">
      <c r="A41" s="3">
        <v>40</v>
      </c>
      <c r="B41" s="3">
        <v>55</v>
      </c>
    </row>
    <row r="42" spans="1:2" x14ac:dyDescent="0.3">
      <c r="A42" s="3">
        <v>41</v>
      </c>
      <c r="B42" s="3">
        <v>47</v>
      </c>
    </row>
    <row r="43" spans="1:2" x14ac:dyDescent="0.3">
      <c r="A43" s="3">
        <v>42</v>
      </c>
      <c r="B43" s="3">
        <v>38</v>
      </c>
    </row>
    <row r="44" spans="1:2" x14ac:dyDescent="0.3">
      <c r="A44" s="3">
        <v>43</v>
      </c>
      <c r="B44" s="3">
        <v>30</v>
      </c>
    </row>
    <row r="45" spans="1:2" x14ac:dyDescent="0.3">
      <c r="A45" s="3">
        <v>44</v>
      </c>
      <c r="B45" s="3">
        <v>54</v>
      </c>
    </row>
    <row r="46" spans="1:2" x14ac:dyDescent="0.3">
      <c r="A46" s="3">
        <v>45</v>
      </c>
      <c r="B46" s="3">
        <v>38</v>
      </c>
    </row>
    <row r="47" spans="1:2" x14ac:dyDescent="0.3">
      <c r="A47" s="3">
        <v>46</v>
      </c>
      <c r="B47" s="3">
        <v>35</v>
      </c>
    </row>
    <row r="48" spans="1:2" x14ac:dyDescent="0.3">
      <c r="A48" s="3">
        <v>47</v>
      </c>
      <c r="B48" s="3">
        <v>35</v>
      </c>
    </row>
    <row r="49" spans="1:2" x14ac:dyDescent="0.3">
      <c r="A49" s="3">
        <v>48</v>
      </c>
      <c r="B49" s="3">
        <v>59</v>
      </c>
    </row>
    <row r="50" spans="1:2" x14ac:dyDescent="0.3">
      <c r="A50" s="3">
        <v>49</v>
      </c>
      <c r="B50" s="3">
        <v>39</v>
      </c>
    </row>
    <row r="51" spans="1:2" x14ac:dyDescent="0.3">
      <c r="A51" s="3">
        <v>50</v>
      </c>
      <c r="B51" s="3">
        <v>42</v>
      </c>
    </row>
    <row r="52" spans="1:2" x14ac:dyDescent="0.3">
      <c r="A52" s="3">
        <v>51</v>
      </c>
      <c r="B52" s="3">
        <v>48</v>
      </c>
    </row>
    <row r="53" spans="1:2" x14ac:dyDescent="0.3">
      <c r="A53" s="3">
        <v>52</v>
      </c>
      <c r="B53" s="3">
        <v>59</v>
      </c>
    </row>
    <row r="54" spans="1:2" x14ac:dyDescent="0.3">
      <c r="A54" s="3">
        <v>53</v>
      </c>
      <c r="B54" s="3">
        <v>52</v>
      </c>
    </row>
    <row r="55" spans="1:2" x14ac:dyDescent="0.3">
      <c r="A55" s="3">
        <v>54</v>
      </c>
      <c r="B55" s="3">
        <v>59</v>
      </c>
    </row>
    <row r="56" spans="1:2" x14ac:dyDescent="0.3">
      <c r="A56" s="3">
        <v>55</v>
      </c>
      <c r="B56" s="3">
        <v>39</v>
      </c>
    </row>
    <row r="57" spans="1:2" x14ac:dyDescent="0.3">
      <c r="A57" s="3">
        <v>56</v>
      </c>
      <c r="B57" s="3">
        <v>45</v>
      </c>
    </row>
    <row r="58" spans="1:2" x14ac:dyDescent="0.3">
      <c r="A58" s="3">
        <v>57</v>
      </c>
      <c r="B58" s="3">
        <v>46</v>
      </c>
    </row>
    <row r="59" spans="1:2" x14ac:dyDescent="0.3">
      <c r="A59" s="3">
        <v>58</v>
      </c>
      <c r="B59" s="3">
        <v>36</v>
      </c>
    </row>
    <row r="60" spans="1:2" x14ac:dyDescent="0.3">
      <c r="A60" s="3">
        <v>59</v>
      </c>
      <c r="B60" s="3">
        <v>40</v>
      </c>
    </row>
    <row r="61" spans="1:2" x14ac:dyDescent="0.3">
      <c r="A61" s="3">
        <v>60</v>
      </c>
      <c r="B61" s="3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COMBIN</vt:lpstr>
      <vt:lpstr>RANDBETWEEN</vt:lpstr>
      <vt:lpstr>평균</vt:lpstr>
      <vt:lpstr>중앙값</vt:lpstr>
      <vt:lpstr>최빈값</vt:lpstr>
      <vt:lpstr>표본분산</vt:lpstr>
      <vt:lpstr>표본표준편차</vt:lpstr>
      <vt:lpstr>사분위</vt:lpstr>
      <vt:lpstr>분석도구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김대경</dc:creator>
  <cp:lastModifiedBy>김대경</cp:lastModifiedBy>
  <dcterms:created xsi:type="dcterms:W3CDTF">2024-07-08T22:51:28Z</dcterms:created>
  <dcterms:modified xsi:type="dcterms:W3CDTF">2024-07-09T07:35:11Z</dcterms:modified>
</cp:coreProperties>
</file>