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sks\[HSG]\2024년도 교육\삼성전자 구미사업부 G.제조팀\Excel 활용 Big Data\교재-강의\sources\"/>
    </mc:Choice>
  </mc:AlternateContent>
  <xr:revisionPtr revIDLastSave="0" documentId="13_ncr:1_{2AA3ACEE-B579-4272-800B-6AB5040ABBDD}" xr6:coauthVersionLast="47" xr6:coauthVersionMax="47" xr10:uidLastSave="{00000000-0000-0000-0000-000000000000}"/>
  <bookViews>
    <workbookView xWindow="-110" yWindow="-110" windowWidth="25820" windowHeight="15500" xr2:uid="{5C78570F-192C-40D5-A7DF-98EE3341F6D9}"/>
  </bookViews>
  <sheets>
    <sheet name="의사결정나무" sheetId="1" r:id="rId1"/>
  </sheets>
  <definedNames>
    <definedName name="solver_adj" localSheetId="0" hidden="1">의사결정나무!#REF!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의사결정나무!#REF!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K11" i="1"/>
  <c r="J12" i="1"/>
  <c r="J11" i="1"/>
  <c r="I12" i="1"/>
  <c r="I11" i="1"/>
  <c r="H12" i="1" a="1"/>
  <c r="H12" i="1"/>
  <c r="G12" i="1" a="1"/>
  <c r="G12" i="1" s="1"/>
  <c r="H11" i="1" a="1"/>
  <c r="H11" i="1"/>
  <c r="G11" i="1" a="1"/>
  <c r="G11" i="1"/>
  <c r="G8" i="1"/>
  <c r="H5" i="1"/>
  <c r="G5" i="1"/>
  <c r="F2" i="1"/>
  <c r="D12" i="1" s="1"/>
  <c r="F5" i="1"/>
  <c r="D10" i="1" l="1"/>
  <c r="D9" i="1"/>
  <c r="D8" i="1"/>
  <c r="D7" i="1"/>
  <c r="D6" i="1"/>
  <c r="D5" i="1"/>
  <c r="D3" i="1"/>
  <c r="D4" i="1"/>
  <c r="D11" i="1"/>
  <c r="D2" i="1" l="1"/>
  <c r="I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<sst xmlns="http://schemas.openxmlformats.org/spreadsheetml/2006/main" count="17" uniqueCount="14">
  <si>
    <t>층</t>
    <phoneticPr fontId="1" type="noConversion"/>
  </si>
  <si>
    <t>금액구분</t>
    <phoneticPr fontId="1" type="noConversion"/>
  </si>
  <si>
    <t>거래금액중위값</t>
    <phoneticPr fontId="1" type="noConversion"/>
  </si>
  <si>
    <t>거래금액</t>
  </si>
  <si>
    <t>전용면적</t>
  </si>
  <si>
    <t>층</t>
  </si>
  <si>
    <t>전체개수</t>
    <phoneticPr fontId="1" type="noConversion"/>
  </si>
  <si>
    <t>A개수</t>
    <phoneticPr fontId="1" type="noConversion"/>
  </si>
  <si>
    <t>B개수</t>
    <phoneticPr fontId="1" type="noConversion"/>
  </si>
  <si>
    <t>지니불순도</t>
    <phoneticPr fontId="1" type="noConversion"/>
  </si>
  <si>
    <t>구분값(중위값)</t>
    <phoneticPr fontId="1" type="noConversion"/>
  </si>
  <si>
    <t>구분값이상</t>
    <phoneticPr fontId="1" type="noConversion"/>
  </si>
  <si>
    <t>구분값미만</t>
    <phoneticPr fontId="1" type="noConversion"/>
  </si>
  <si>
    <t>정보획득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</si>
</sst>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0404A-591C-4C90-96B3-1BA0A1E45CD5}">
  <dimension ref="A1:L12"/>
  <sheetViews>
    <sheetView tabSelected="1" workbookViewId="0">
      <selection activeCell="L15" sqref="L15"/>
    </sheetView>
  </sheetViews>
  <sheetFormatPr defaultRowHeight="17" x14ac:dyDescent="0.45"/>
  <cols>
    <col min="1" max="2" width="8.5" bestFit="1" customWidth="1"/>
    <col min="3" max="3" width="3.1640625" bestFit="1" customWidth="1"/>
    <col min="4" max="4" width="8.5" bestFit="1" customWidth="1"/>
    <col min="6" max="6" width="14.33203125" bestFit="1" customWidth="1"/>
    <col min="7" max="7" width="6" bestFit="1" customWidth="1"/>
    <col min="8" max="8" width="5.9140625" bestFit="1" customWidth="1"/>
    <col min="9" max="9" width="12.33203125" bestFit="1" customWidth="1"/>
  </cols>
  <sheetData>
    <row r="1" spans="1:12" x14ac:dyDescent="0.45">
      <c r="A1" s="1" t="s">
        <v>3</v>
      </c>
      <c r="B1" s="1" t="s">
        <v>4</v>
      </c>
      <c r="C1" s="1" t="s">
        <v>5</v>
      </c>
      <c r="D1" s="1" t="s">
        <v>1</v>
      </c>
      <c r="F1" s="2" t="s">
        <v>2</v>
      </c>
    </row>
    <row r="2" spans="1:12" x14ac:dyDescent="0.45">
      <c r="A2">
        <v>85000</v>
      </c>
      <c r="B2">
        <v>100.77</v>
      </c>
      <c r="C2">
        <v>6</v>
      </c>
      <c r="D2" t="str">
        <f>IF(A2&gt;=$F$2,"A","B")</f>
        <v>B</v>
      </c>
      <c r="F2">
        <f>MEDIAN(A2:A12)</f>
        <v>134000</v>
      </c>
    </row>
    <row r="3" spans="1:12" x14ac:dyDescent="0.45">
      <c r="A3">
        <v>129500</v>
      </c>
      <c r="B3">
        <v>97.61</v>
      </c>
      <c r="C3">
        <v>7</v>
      </c>
      <c r="D3" t="str">
        <f t="shared" ref="D3:D12" si="0">IF(A3&gt;=$F$2,"A","B")</f>
        <v>B</v>
      </c>
    </row>
    <row r="4" spans="1:12" x14ac:dyDescent="0.45">
      <c r="A4">
        <v>220000</v>
      </c>
      <c r="B4">
        <v>101.991</v>
      </c>
      <c r="C4">
        <v>6</v>
      </c>
      <c r="D4" t="str">
        <f t="shared" si="0"/>
        <v>A</v>
      </c>
      <c r="F4" t="s">
        <v>6</v>
      </c>
      <c r="G4" t="s">
        <v>7</v>
      </c>
      <c r="H4" t="s">
        <v>8</v>
      </c>
      <c r="I4" t="s">
        <v>9</v>
      </c>
    </row>
    <row r="5" spans="1:12" x14ac:dyDescent="0.45">
      <c r="A5">
        <v>134000</v>
      </c>
      <c r="B5">
        <v>95.88</v>
      </c>
      <c r="C5">
        <v>5</v>
      </c>
      <c r="D5" t="str">
        <f t="shared" si="0"/>
        <v>A</v>
      </c>
      <c r="F5">
        <f>COUNT(A2:A10)</f>
        <v>9</v>
      </c>
      <c r="G5">
        <f>COUNTIF($D$2:$D$12, "A")</f>
        <v>6</v>
      </c>
      <c r="H5">
        <f>COUNTIF($D$2:$D$12, "B")</f>
        <v>5</v>
      </c>
      <c r="I5">
        <f>1-(G5/F5)^2-(H5/F5)^2</f>
        <v>0.24691358024691357</v>
      </c>
    </row>
    <row r="6" spans="1:12" x14ac:dyDescent="0.45">
      <c r="A6">
        <v>134500</v>
      </c>
      <c r="B6">
        <v>95.88</v>
      </c>
      <c r="C6">
        <v>5</v>
      </c>
      <c r="D6" t="str">
        <f t="shared" si="0"/>
        <v>A</v>
      </c>
    </row>
    <row r="7" spans="1:12" x14ac:dyDescent="0.45">
      <c r="A7">
        <v>46300</v>
      </c>
      <c r="B7">
        <v>94.94</v>
      </c>
      <c r="C7">
        <v>7</v>
      </c>
      <c r="D7" t="str">
        <f t="shared" si="0"/>
        <v>B</v>
      </c>
      <c r="F7" t="s">
        <v>0</v>
      </c>
    </row>
    <row r="8" spans="1:12" x14ac:dyDescent="0.45">
      <c r="A8">
        <v>138000</v>
      </c>
      <c r="B8">
        <v>94.51</v>
      </c>
      <c r="C8">
        <v>8</v>
      </c>
      <c r="D8" t="str">
        <f t="shared" si="0"/>
        <v>A</v>
      </c>
      <c r="F8" t="s">
        <v>10</v>
      </c>
      <c r="G8">
        <f>MEDIAN(C2:C17)</f>
        <v>6</v>
      </c>
    </row>
    <row r="9" spans="1:12" x14ac:dyDescent="0.45">
      <c r="A9">
        <v>140000</v>
      </c>
      <c r="B9">
        <v>94.51</v>
      </c>
      <c r="C9">
        <v>5</v>
      </c>
      <c r="D9" t="str">
        <f t="shared" si="0"/>
        <v>A</v>
      </c>
    </row>
    <row r="10" spans="1:12" x14ac:dyDescent="0.45">
      <c r="A10">
        <v>134000</v>
      </c>
      <c r="B10">
        <v>94.51</v>
      </c>
      <c r="C10">
        <v>4</v>
      </c>
      <c r="D10" t="str">
        <f t="shared" si="0"/>
        <v>A</v>
      </c>
      <c r="G10" t="s">
        <v>7</v>
      </c>
      <c r="H10" t="s">
        <v>8</v>
      </c>
      <c r="I10" t="s">
        <v>9</v>
      </c>
      <c r="L10" t="s">
        <v>13</v>
      </c>
    </row>
    <row r="11" spans="1:12" x14ac:dyDescent="0.45">
      <c r="A11">
        <v>10500</v>
      </c>
      <c r="B11">
        <v>106.81</v>
      </c>
      <c r="C11">
        <v>8</v>
      </c>
      <c r="D11" t="str">
        <f t="shared" si="0"/>
        <v>B</v>
      </c>
      <c r="F11" t="s">
        <v>11</v>
      </c>
      <c r="G11" cm="1">
        <f t="array" ref="G11">SUMPRODUCT(($C$2:$C$12&gt;=$G$8)*($D$2:$D$12 ="A")*1)</f>
        <v>2</v>
      </c>
      <c r="H11" cm="1">
        <f t="array" ref="H11">SUMPRODUCT(($C$2:$C$12&gt;=$G$8)*($D$2:$D$12 ="B")*1)</f>
        <v>5</v>
      </c>
      <c r="I11">
        <f>1-(G11/(G11+H11))^2-(H11/(G11+H11))^2</f>
        <v>0.40816326530612246</v>
      </c>
      <c r="J11">
        <f>SUM(G11:H11)/$F$5</f>
        <v>0.77777777777777779</v>
      </c>
      <c r="K11">
        <f>I11*J11+I12*J12</f>
        <v>0.3174603174603175</v>
      </c>
      <c r="L11">
        <f>I5-K11</f>
        <v>-7.0546737213403932E-2</v>
      </c>
    </row>
    <row r="12" spans="1:12" x14ac:dyDescent="0.45">
      <c r="A12">
        <v>89700</v>
      </c>
      <c r="B12">
        <v>106.82</v>
      </c>
      <c r="C12">
        <v>11</v>
      </c>
      <c r="D12" t="str">
        <f t="shared" si="0"/>
        <v>B</v>
      </c>
      <c r="F12" t="s">
        <v>12</v>
      </c>
      <c r="G12" cm="1">
        <f t="array" ref="G12">SUMPRODUCT(($C$2:$C$12&lt;$G$8)*($D$2:$D$12="A")*1)</f>
        <v>4</v>
      </c>
      <c r="H12" cm="1">
        <f t="array" ref="H12">SUMPRODUCT(($C$2:$C$12&lt;$G$8)*($D$2:$D$12="B")*1)</f>
        <v>0</v>
      </c>
      <c r="I12">
        <f>1-(G12/(G12+H12))^2-(H12/(G12+H12))^2</f>
        <v>0</v>
      </c>
      <c r="J12">
        <f>SUM(G12:H12)/$F$5</f>
        <v>0.44444444444444442</v>
      </c>
    </row>
  </sheetData>
  <sortState xmlns:xlrd2="http://schemas.microsoft.com/office/spreadsheetml/2017/richdata2" ref="A2:D14">
    <sortCondition ref="D2:D14"/>
  </sortState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의사결정나무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DaeKyeong</dc:creator>
  <cp:lastModifiedBy>대경 김</cp:lastModifiedBy>
  <dcterms:created xsi:type="dcterms:W3CDTF">2024-07-12T02:56:22Z</dcterms:created>
  <dcterms:modified xsi:type="dcterms:W3CDTF">2024-08-08T23:48:33Z</dcterms:modified>
</cp:coreProperties>
</file>