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백업했니\데이터분석\4차_조판\제2부 엑셀을 이용한 데이터 수집 및 정리\Chap04_데이터 정의, 수집과 입력I\Chap04_데이터 정의, 수집과 입력I_결과파일\"/>
    </mc:Choice>
  </mc:AlternateContent>
  <xr:revisionPtr revIDLastSave="0" documentId="13_ncr:1_{C0D03649-3012-423A-89CF-DC770183B01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분반1" sheetId="1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55" i="1" l="1"/>
  <c r="I55" i="1"/>
  <c r="J55" i="1"/>
  <c r="L55" i="1"/>
  <c r="M55" i="1"/>
  <c r="G56" i="1"/>
  <c r="I56" i="1"/>
  <c r="J56" i="1"/>
  <c r="L56" i="1"/>
  <c r="M56" i="1"/>
  <c r="E56" i="1"/>
  <c r="E55" i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2" i="1"/>
  <c r="H55" i="1" l="1"/>
  <c r="H56" i="1"/>
  <c r="K55" i="1"/>
  <c r="K56" i="1"/>
  <c r="N52" i="1"/>
  <c r="N48" i="1"/>
  <c r="N44" i="1"/>
  <c r="N40" i="1"/>
  <c r="N36" i="1"/>
  <c r="N32" i="1"/>
  <c r="N28" i="1"/>
  <c r="N24" i="1"/>
  <c r="N20" i="1"/>
  <c r="N16" i="1"/>
  <c r="N12" i="1"/>
  <c r="N8" i="1"/>
  <c r="N4" i="1"/>
  <c r="N2" i="1"/>
  <c r="F55" i="1"/>
  <c r="F56" i="1"/>
  <c r="N51" i="1"/>
  <c r="N47" i="1"/>
  <c r="N43" i="1"/>
  <c r="N39" i="1"/>
  <c r="N35" i="1"/>
  <c r="N31" i="1"/>
  <c r="N27" i="1"/>
  <c r="N23" i="1"/>
  <c r="N19" i="1"/>
  <c r="N15" i="1"/>
  <c r="N11" i="1"/>
  <c r="N7" i="1"/>
  <c r="N3" i="1"/>
  <c r="N54" i="1"/>
  <c r="N46" i="1"/>
  <c r="N42" i="1"/>
  <c r="N38" i="1"/>
  <c r="N34" i="1"/>
  <c r="N30" i="1"/>
  <c r="N26" i="1"/>
  <c r="N22" i="1"/>
  <c r="N18" i="1"/>
  <c r="N14" i="1"/>
  <c r="N10" i="1"/>
  <c r="N6" i="1"/>
  <c r="N50" i="1"/>
  <c r="N53" i="1"/>
  <c r="N49" i="1"/>
  <c r="N45" i="1"/>
  <c r="N41" i="1"/>
  <c r="N37" i="1"/>
  <c r="N33" i="1"/>
  <c r="N29" i="1"/>
  <c r="N25" i="1"/>
  <c r="N21" i="1"/>
  <c r="N17" i="1"/>
  <c r="N13" i="1"/>
  <c r="N9" i="1"/>
  <c r="N5" i="1"/>
  <c r="N56" i="1" l="1"/>
  <c r="N5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D36B9DD-6D5C-4E8E-AF88-FDCF3E07ADAF}" keepAlive="1" name="쿼리 - Sheet2" description="통합 문서의 'Sheet2' 쿼리에 대한 연결입니다." type="5" refreshedVersion="6" background="1">
    <dbPr connection="Provider=Microsoft.Mashup.OleDb.1;Data Source=$Workbook$;Location=Sheet2;Extended Properties=&quot;&quot;" command="SELECT * FROM [Sheet2]"/>
  </connection>
</connections>
</file>

<file path=xl/sharedStrings.xml><?xml version="1.0" encoding="utf-8"?>
<sst xmlns="http://schemas.openxmlformats.org/spreadsheetml/2006/main" count="189" uniqueCount="165">
  <si>
    <t>순번</t>
  </si>
  <si>
    <t>학년</t>
  </si>
  <si>
    <t>학번</t>
  </si>
  <si>
    <t>성명</t>
  </si>
  <si>
    <t>2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</si>
  <si>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</si>
  <si>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</si>
  <si>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</si>
  <si>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</si>
  <si>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</si>
  <si>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</si>
  <si>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</si>
  <si>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</si>
  <si>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</si>
  <si>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</si>
  <si>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</si>
  <si>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</si>
  <si>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</si>
  <si>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</si>
  <si>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</si>
  <si>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</si>
  <si>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</si>
  <si>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</si>
  <si>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</si>
  <si>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</si>
  <si>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</si>
  <si>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</si>
  <si>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</si>
  <si>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</si>
  <si>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</si>
  <si>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</si>
  <si>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</si>
  <si>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</si>
  <si>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한지혜</t>
  </si>
  <si>
    <t>201710239</t>
    <phoneticPr fontId="18" type="noConversion"/>
  </si>
  <si>
    <t>학과코드</t>
    <phoneticPr fontId="18" type="noConversion"/>
  </si>
  <si>
    <t>컴퓨터</t>
    <phoneticPr fontId="18" type="noConversion"/>
  </si>
  <si>
    <t>전공명</t>
    <phoneticPr fontId="18" type="noConversion"/>
  </si>
  <si>
    <t>보안</t>
    <phoneticPr fontId="18" type="noConversion"/>
  </si>
  <si>
    <t>전자</t>
    <phoneticPr fontId="18" type="noConversion"/>
  </si>
  <si>
    <t>게임</t>
    <phoneticPr fontId="18" type="noConversion"/>
  </si>
  <si>
    <t>통신</t>
    <phoneticPr fontId="18" type="noConversion"/>
  </si>
  <si>
    <t>2</t>
    <phoneticPr fontId="18" type="noConversion"/>
  </si>
  <si>
    <t>1</t>
    <phoneticPr fontId="18" type="noConversion"/>
  </si>
  <si>
    <t>3</t>
    <phoneticPr fontId="18" type="noConversion"/>
  </si>
  <si>
    <t>4</t>
    <phoneticPr fontId="18" type="noConversion"/>
  </si>
  <si>
    <t>중간합200</t>
    <phoneticPr fontId="18" type="noConversion"/>
  </si>
  <si>
    <t>기말합110</t>
    <phoneticPr fontId="18" type="noConversion"/>
  </si>
  <si>
    <t>퀴즈1합110</t>
    <phoneticPr fontId="18" type="noConversion"/>
  </si>
  <si>
    <t>출석100</t>
    <phoneticPr fontId="18" type="noConversion"/>
  </si>
  <si>
    <t>퀴즈2합100</t>
    <phoneticPr fontId="18" type="noConversion"/>
  </si>
  <si>
    <t>201610177</t>
    <phoneticPr fontId="18" type="noConversion"/>
  </si>
  <si>
    <t>201810187</t>
    <phoneticPr fontId="18" type="noConversion"/>
  </si>
  <si>
    <t>201810488</t>
    <phoneticPr fontId="18" type="noConversion"/>
  </si>
  <si>
    <t>201810390</t>
    <phoneticPr fontId="18" type="noConversion"/>
  </si>
  <si>
    <t>201710275</t>
    <phoneticPr fontId="18" type="noConversion"/>
  </si>
  <si>
    <t>201610179</t>
    <phoneticPr fontId="18" type="noConversion"/>
  </si>
  <si>
    <t>201510585</t>
    <phoneticPr fontId="18" type="noConversion"/>
  </si>
  <si>
    <t>201610586</t>
    <phoneticPr fontId="18" type="noConversion"/>
  </si>
  <si>
    <t>201710388</t>
    <phoneticPr fontId="18" type="noConversion"/>
  </si>
  <si>
    <t>201810189</t>
    <phoneticPr fontId="18" type="noConversion"/>
  </si>
  <si>
    <t>201810293</t>
    <phoneticPr fontId="18" type="noConversion"/>
  </si>
  <si>
    <t>201810402</t>
    <phoneticPr fontId="18" type="noConversion"/>
  </si>
  <si>
    <t>201710504</t>
    <phoneticPr fontId="18" type="noConversion"/>
  </si>
  <si>
    <t>201610205</t>
    <phoneticPr fontId="18" type="noConversion"/>
  </si>
  <si>
    <t>201710306</t>
    <phoneticPr fontId="18" type="noConversion"/>
  </si>
  <si>
    <t>201510412</t>
    <phoneticPr fontId="18" type="noConversion"/>
  </si>
  <si>
    <t>201710214</t>
    <phoneticPr fontId="18" type="noConversion"/>
  </si>
  <si>
    <t>201810117</t>
    <phoneticPr fontId="18" type="noConversion"/>
  </si>
  <si>
    <t>201610118</t>
    <phoneticPr fontId="18" type="noConversion"/>
  </si>
  <si>
    <t>201510420</t>
    <phoneticPr fontId="18" type="noConversion"/>
  </si>
  <si>
    <t>201810321</t>
    <phoneticPr fontId="18" type="noConversion"/>
  </si>
  <si>
    <t>201610124</t>
    <phoneticPr fontId="18" type="noConversion"/>
  </si>
  <si>
    <t>201710128</t>
    <phoneticPr fontId="18" type="noConversion"/>
  </si>
  <si>
    <t>201610130</t>
    <phoneticPr fontId="18" type="noConversion"/>
  </si>
  <si>
    <t>201810531</t>
    <phoneticPr fontId="18" type="noConversion"/>
  </si>
  <si>
    <t>201810538</t>
    <phoneticPr fontId="18" type="noConversion"/>
  </si>
  <si>
    <t>201810139</t>
    <phoneticPr fontId="18" type="noConversion"/>
  </si>
  <si>
    <t>김민서</t>
    <phoneticPr fontId="18" type="noConversion"/>
  </si>
  <si>
    <t>김규상</t>
    <phoneticPr fontId="18" type="noConversion"/>
  </si>
  <si>
    <t>김현태</t>
    <phoneticPr fontId="18" type="noConversion"/>
  </si>
  <si>
    <t>박영진</t>
    <phoneticPr fontId="18" type="noConversion"/>
  </si>
  <si>
    <t>박호석</t>
    <phoneticPr fontId="18" type="noConversion"/>
  </si>
  <si>
    <t>박예빈</t>
    <phoneticPr fontId="18" type="noConversion"/>
  </si>
  <si>
    <t>배정환</t>
    <phoneticPr fontId="18" type="noConversion"/>
  </si>
  <si>
    <t>오원선</t>
    <phoneticPr fontId="18" type="noConversion"/>
  </si>
  <si>
    <t>유아정</t>
    <phoneticPr fontId="18" type="noConversion"/>
  </si>
  <si>
    <t>이철승</t>
    <phoneticPr fontId="18" type="noConversion"/>
  </si>
  <si>
    <t>이재민</t>
    <phoneticPr fontId="18" type="noConversion"/>
  </si>
  <si>
    <t>임영규</t>
    <phoneticPr fontId="18" type="noConversion"/>
  </si>
  <si>
    <t>정영주</t>
    <phoneticPr fontId="18" type="noConversion"/>
  </si>
  <si>
    <t>채혜정</t>
    <phoneticPr fontId="18" type="noConversion"/>
  </si>
  <si>
    <t>최연진</t>
    <phoneticPr fontId="18" type="noConversion"/>
  </si>
  <si>
    <t>한화연</t>
    <phoneticPr fontId="18" type="noConversion"/>
  </si>
  <si>
    <t>강정모</t>
    <phoneticPr fontId="18" type="noConversion"/>
  </si>
  <si>
    <t>강수정</t>
    <phoneticPr fontId="18" type="noConversion"/>
  </si>
  <si>
    <t>김동규</t>
    <phoneticPr fontId="18" type="noConversion"/>
  </si>
  <si>
    <t>김민현</t>
    <phoneticPr fontId="18" type="noConversion"/>
  </si>
  <si>
    <t>김범훈</t>
    <phoneticPr fontId="18" type="noConversion"/>
  </si>
  <si>
    <t>김도영</t>
    <phoneticPr fontId="18" type="noConversion"/>
  </si>
  <si>
    <t>박도현</t>
    <phoneticPr fontId="18" type="noConversion"/>
  </si>
  <si>
    <t>송건호</t>
    <phoneticPr fontId="18" type="noConversion"/>
  </si>
  <si>
    <t>임주은</t>
    <phoneticPr fontId="18" type="noConversion"/>
  </si>
  <si>
    <t>주영진</t>
    <phoneticPr fontId="18" type="noConversion"/>
  </si>
  <si>
    <t>최성욱</t>
    <phoneticPr fontId="18" type="noConversion"/>
  </si>
  <si>
    <t>참여도</t>
    <phoneticPr fontId="18" type="noConversion"/>
  </si>
  <si>
    <t>박민주</t>
  </si>
  <si>
    <t>김정석</t>
  </si>
  <si>
    <t>박재호</t>
  </si>
  <si>
    <t>이정환</t>
  </si>
  <si>
    <t>이승원</t>
  </si>
  <si>
    <t>정성환</t>
  </si>
  <si>
    <t>강기정</t>
  </si>
  <si>
    <t>권준기</t>
  </si>
  <si>
    <t>김태환</t>
  </si>
  <si>
    <t>배진형</t>
  </si>
  <si>
    <t>양상원</t>
  </si>
  <si>
    <t>김상흠</t>
  </si>
  <si>
    <t>최운주</t>
  </si>
  <si>
    <t>김훈정</t>
  </si>
  <si>
    <t>박연수</t>
  </si>
  <si>
    <t>이형진</t>
  </si>
  <si>
    <t>김지수</t>
  </si>
  <si>
    <t>장수원</t>
  </si>
  <si>
    <t>권원재</t>
  </si>
  <si>
    <t>박규석</t>
  </si>
  <si>
    <t>김태길</t>
  </si>
  <si>
    <t>강성연</t>
  </si>
  <si>
    <t>강선진</t>
  </si>
  <si>
    <t>구정민</t>
  </si>
  <si>
    <t>김주원</t>
  </si>
  <si>
    <t>1</t>
    <phoneticPr fontId="18" type="noConversion"/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</si>
  <si>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</si>
  <si>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</si>
  <si>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</si>
  <si>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</si>
  <si>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</si>
  <si>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</si>
  <si>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</si>
  <si>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</si>
  <si>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</si>
  <si>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</si>
  <si>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</si>
  <si>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</si>
  <si>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</si>
  <si>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</si>
  <si>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</si>
  <si>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</si>
  <si>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</si>
  <si>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</si>
  <si>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</si>
  <si>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</si>
  <si>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</si>
  <si>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</si>
  <si>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</si>
  <si>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중간합100</t>
    <phoneticPr fontId="18" type="noConversion"/>
  </si>
  <si>
    <t>기말합100</t>
    <phoneticPr fontId="18" type="noConversion"/>
  </si>
  <si>
    <t>퀴즈1합100</t>
    <phoneticPr fontId="18" type="noConversion"/>
  </si>
  <si>
    <t>총합</t>
    <phoneticPr fontId="18" type="noConversion"/>
  </si>
  <si>
    <t>평균</t>
    <phoneticPr fontId="18" type="noConversion"/>
  </si>
  <si>
    <t>등수</t>
    <phoneticPr fontId="18" type="noConversion"/>
  </si>
  <si>
    <t>합</t>
    <phoneticPr fontId="18" type="noConversion"/>
  </si>
  <si>
    <t>최고 점수</t>
    <phoneticPr fontId="18" type="noConversion"/>
  </si>
  <si>
    <t>최저 점수</t>
    <phoneticPr fontId="18" type="noConversion"/>
  </si>
  <si>
    <t>중간 점수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</si>
</sst>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  <font>
      <sz val="10"/>
      <color theme="1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 diagonalUp="1" diagonalDown="1"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 style="thick">
        <color indexed="64"/>
      </diagonal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19" fillId="0" borderId="15" xfId="0" applyFont="1" applyFill="1" applyBorder="1" applyAlignment="1">
      <alignment horizontal="center" vertical="center" wrapText="1"/>
    </xf>
    <xf numFmtId="0" fontId="19" fillId="0" borderId="16" xfId="0" applyFont="1" applyFill="1" applyBorder="1" applyAlignment="1">
      <alignment horizontal="center" vertical="center" wrapText="1"/>
    </xf>
    <xf numFmtId="0" fontId="20" fillId="0" borderId="16" xfId="0" applyFont="1" applyFill="1" applyBorder="1" applyAlignment="1">
      <alignment horizontal="center" vertical="center"/>
    </xf>
    <xf numFmtId="0" fontId="20" fillId="33" borderId="16" xfId="0" applyFont="1" applyFill="1" applyBorder="1" applyAlignment="1">
      <alignment horizontal="center" vertical="center"/>
    </xf>
    <xf numFmtId="0" fontId="20" fillId="0" borderId="18" xfId="0" applyFont="1" applyFill="1" applyBorder="1" applyAlignment="1">
      <alignment horizontal="center" vertical="center"/>
    </xf>
    <xf numFmtId="0" fontId="20" fillId="33" borderId="13" xfId="0" applyFont="1" applyFill="1" applyBorder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49" fontId="20" fillId="0" borderId="27" xfId="0" applyNumberFormat="1" applyFont="1" applyBorder="1" applyAlignment="1">
      <alignment horizontal="center" vertical="center" wrapText="1"/>
    </xf>
    <xf numFmtId="49" fontId="20" fillId="0" borderId="19" xfId="0" applyNumberFormat="1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/>
    </xf>
    <xf numFmtId="0" fontId="20" fillId="33" borderId="19" xfId="0" applyFont="1" applyFill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20" fillId="33" borderId="22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49" fontId="20" fillId="0" borderId="28" xfId="0" applyNumberFormat="1" applyFont="1" applyBorder="1" applyAlignment="1">
      <alignment horizontal="center" vertical="center" wrapText="1"/>
    </xf>
    <xf numFmtId="49" fontId="20" fillId="0" borderId="10" xfId="0" applyNumberFormat="1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0" fillId="33" borderId="11" xfId="0" applyFont="1" applyFill="1" applyBorder="1" applyAlignment="1">
      <alignment horizontal="center" vertical="center"/>
    </xf>
    <xf numFmtId="49" fontId="20" fillId="0" borderId="29" xfId="0" applyNumberFormat="1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0" fontId="20" fillId="33" borderId="30" xfId="0" applyFont="1" applyFill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33" borderId="32" xfId="0" applyFont="1" applyFill="1" applyBorder="1" applyAlignment="1">
      <alignment horizontal="center" vertical="center"/>
    </xf>
    <xf numFmtId="0" fontId="20" fillId="33" borderId="21" xfId="0" applyFont="1" applyFill="1" applyBorder="1" applyAlignment="1">
      <alignment horizontal="center" vertical="center"/>
    </xf>
    <xf numFmtId="0" fontId="20" fillId="33" borderId="25" xfId="0" applyFont="1" applyFill="1" applyBorder="1" applyAlignment="1">
      <alignment horizontal="center" vertical="center"/>
    </xf>
    <xf numFmtId="0" fontId="20" fillId="33" borderId="25" xfId="0" applyFont="1" applyFill="1" applyBorder="1">
      <alignment vertical="center"/>
    </xf>
    <xf numFmtId="0" fontId="20" fillId="33" borderId="18" xfId="0" applyFont="1" applyFill="1" applyBorder="1" applyAlignment="1">
      <alignment horizontal="center" vertical="center"/>
    </xf>
    <xf numFmtId="0" fontId="21" fillId="33" borderId="15" xfId="0" applyFont="1" applyFill="1" applyBorder="1" applyAlignment="1">
      <alignment horizontal="center" vertical="center"/>
    </xf>
    <xf numFmtId="0" fontId="21" fillId="33" borderId="16" xfId="0" applyFont="1" applyFill="1" applyBorder="1" applyAlignment="1">
      <alignment horizontal="center" vertical="center"/>
    </xf>
    <xf numFmtId="0" fontId="21" fillId="33" borderId="31" xfId="0" applyFont="1" applyFill="1" applyBorder="1" applyAlignment="1">
      <alignment horizontal="center" vertical="center"/>
    </xf>
    <xf numFmtId="0" fontId="21" fillId="33" borderId="13" xfId="0" applyFont="1" applyFill="1" applyBorder="1" applyAlignment="1">
      <alignment horizontal="center" vertical="center"/>
    </xf>
    <xf numFmtId="0" fontId="0" fillId="33" borderId="33" xfId="0" applyFill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49" fontId="20" fillId="33" borderId="23" xfId="0" applyNumberFormat="1" applyFont="1" applyFill="1" applyBorder="1" applyAlignment="1">
      <alignment horizontal="center" vertical="center" wrapText="1"/>
    </xf>
    <xf numFmtId="49" fontId="20" fillId="33" borderId="24" xfId="0" applyNumberFormat="1" applyFont="1" applyFill="1" applyBorder="1" applyAlignment="1">
      <alignment horizontal="center" vertical="center" wrapText="1"/>
    </xf>
    <xf numFmtId="49" fontId="20" fillId="33" borderId="26" xfId="0" applyNumberFormat="1" applyFont="1" applyFill="1" applyBorder="1" applyAlignment="1">
      <alignment horizontal="center" vertical="center" wrapText="1"/>
    </xf>
    <xf numFmtId="49" fontId="20" fillId="33" borderId="15" xfId="0" applyNumberFormat="1" applyFont="1" applyFill="1" applyBorder="1" applyAlignment="1">
      <alignment horizontal="center" vertical="center" wrapText="1"/>
    </xf>
    <xf numFmtId="49" fontId="20" fillId="33" borderId="16" xfId="0" applyNumberFormat="1" applyFont="1" applyFill="1" applyBorder="1" applyAlignment="1">
      <alignment horizontal="center" vertical="center" wrapText="1"/>
    </xf>
    <xf numFmtId="49" fontId="20" fillId="33" borderId="31" xfId="0" applyNumberFormat="1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/>
    </xf>
    <xf numFmtId="0" fontId="20" fillId="33" borderId="16" xfId="0" applyFont="1" applyFill="1" applyBorder="1" applyAlignment="1">
      <alignment horizontal="center" vertical="center"/>
    </xf>
    <xf numFmtId="0" fontId="20" fillId="33" borderId="31" xfId="0" applyFont="1" applyFill="1" applyBorder="1" applyAlignment="1">
      <alignment horizontal="center" vertical="center"/>
    </xf>
    <xf numFmtId="0" fontId="21" fillId="33" borderId="13" xfId="0" applyFont="1" applyFill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0"/>
  <sheetViews>
    <sheetView tabSelected="1" zoomScaleNormal="100" workbookViewId="0">
      <pane xSplit="4" ySplit="1" topLeftCell="E41" activePane="bottomRight" state="frozen"/>
      <selection pane="topRight" activeCell="E1" sqref="E1"/>
      <selection pane="bottomLeft" activeCell="A2" sqref="A2"/>
      <selection pane="bottomRight" activeCell="N55" sqref="N55"/>
    </sheetView>
  </sheetViews>
  <sheetFormatPr defaultRowHeight="12" x14ac:dyDescent="0.3"/>
  <cols>
    <col min="1" max="2" width="4.625" style="14" customWidth="1"/>
    <col min="3" max="3" width="9.625" style="14" customWidth="1"/>
    <col min="4" max="4" width="8.75" style="14" bestFit="1" customWidth="1"/>
    <col min="5" max="13" width="8.625" style="14" customWidth="1"/>
    <col min="14" max="14" width="10.75" style="14" customWidth="1"/>
    <col min="15" max="15" width="8.625" style="14" customWidth="1"/>
    <col min="16" max="16384" width="9" style="14"/>
  </cols>
  <sheetData>
    <row r="1" spans="1:15" s="7" customFormat="1" ht="20.100000000000001" customHeight="1" thickTop="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3" t="s">
        <v>46</v>
      </c>
      <c r="F1" s="4" t="s">
        <v>155</v>
      </c>
      <c r="G1" s="3" t="s">
        <v>47</v>
      </c>
      <c r="H1" s="4" t="s">
        <v>156</v>
      </c>
      <c r="I1" s="3" t="s">
        <v>49</v>
      </c>
      <c r="J1" s="3" t="s">
        <v>48</v>
      </c>
      <c r="K1" s="4" t="s">
        <v>157</v>
      </c>
      <c r="L1" s="3" t="s">
        <v>50</v>
      </c>
      <c r="M1" s="5" t="s">
        <v>105</v>
      </c>
      <c r="N1" s="6" t="s">
        <v>158</v>
      </c>
      <c r="O1" s="6" t="s">
        <v>160</v>
      </c>
    </row>
    <row r="2" spans="1:15" ht="20.100000000000001" customHeight="1" thickTop="1" x14ac:dyDescent="0.3">
      <c r="A2" s="8" t="s">
        <v>131</v>
      </c>
      <c r="B2" s="9" t="s">
        <v>42</v>
      </c>
      <c r="C2" s="9" t="s">
        <v>52</v>
      </c>
      <c r="D2" s="9" t="s">
        <v>78</v>
      </c>
      <c r="E2" s="10">
        <v>41</v>
      </c>
      <c r="F2" s="11">
        <f>(E2*100)/200</f>
        <v>20.5</v>
      </c>
      <c r="G2" s="10">
        <v>22</v>
      </c>
      <c r="H2" s="11">
        <f>(G2*100)/110</f>
        <v>20</v>
      </c>
      <c r="I2" s="10">
        <v>92.22</v>
      </c>
      <c r="J2" s="10">
        <v>9</v>
      </c>
      <c r="K2" s="11">
        <f>(J2*100)/110</f>
        <v>8.1818181818181817</v>
      </c>
      <c r="L2" s="10">
        <v>22</v>
      </c>
      <c r="M2" s="12">
        <v>100</v>
      </c>
      <c r="N2" s="13">
        <f>F2*0.3+H2*0.35+I2*0.1+K2*0.1+L2*0.1+M2*0.05</f>
        <v>30.390181818181816</v>
      </c>
      <c r="O2" s="13"/>
    </row>
    <row r="3" spans="1:15" ht="20.100000000000001" customHeight="1" x14ac:dyDescent="0.3">
      <c r="A3" s="15" t="s">
        <v>4</v>
      </c>
      <c r="B3" s="16" t="s">
        <v>42</v>
      </c>
      <c r="C3" s="16" t="s">
        <v>53</v>
      </c>
      <c r="D3" s="16" t="s">
        <v>79</v>
      </c>
      <c r="E3" s="17">
        <v>55</v>
      </c>
      <c r="F3" s="11">
        <f t="shared" ref="F3:F54" si="0">(E3*100)/200</f>
        <v>27.5</v>
      </c>
      <c r="G3" s="17">
        <v>47</v>
      </c>
      <c r="H3" s="11">
        <f t="shared" ref="H3:H54" si="1">(G3*100)/110</f>
        <v>42.727272727272727</v>
      </c>
      <c r="I3" s="17">
        <v>81.11</v>
      </c>
      <c r="J3" s="17">
        <v>47</v>
      </c>
      <c r="K3" s="11">
        <f t="shared" ref="K3:K54" si="2">(J3*100)/110</f>
        <v>42.727272727272727</v>
      </c>
      <c r="L3" s="17">
        <v>25</v>
      </c>
      <c r="M3" s="18">
        <v>100</v>
      </c>
      <c r="N3" s="13">
        <f t="shared" ref="N3:N54" si="3">F3*0.3+H3*0.35+I3*0.1+K3*0.1+L3*0.1+M3*0.05</f>
        <v>43.088272727272724</v>
      </c>
      <c r="O3" s="19"/>
    </row>
    <row r="4" spans="1:15" ht="20.100000000000001" customHeight="1" x14ac:dyDescent="0.3">
      <c r="A4" s="15" t="s">
        <v>132</v>
      </c>
      <c r="B4" s="16" t="s">
        <v>42</v>
      </c>
      <c r="C4" s="16" t="s">
        <v>54</v>
      </c>
      <c r="D4" s="16" t="s">
        <v>80</v>
      </c>
      <c r="E4" s="17">
        <v>82</v>
      </c>
      <c r="F4" s="11">
        <f t="shared" si="0"/>
        <v>41</v>
      </c>
      <c r="G4" s="17">
        <v>34</v>
      </c>
      <c r="H4" s="11">
        <f t="shared" si="1"/>
        <v>30.90909090909091</v>
      </c>
      <c r="I4" s="17">
        <v>100</v>
      </c>
      <c r="J4" s="17">
        <v>34</v>
      </c>
      <c r="K4" s="11">
        <f t="shared" si="2"/>
        <v>30.90909090909091</v>
      </c>
      <c r="L4" s="17">
        <v>45</v>
      </c>
      <c r="M4" s="18">
        <v>100</v>
      </c>
      <c r="N4" s="13">
        <f t="shared" si="3"/>
        <v>45.709090909090911</v>
      </c>
      <c r="O4" s="19"/>
    </row>
    <row r="5" spans="1:15" ht="20.100000000000001" customHeight="1" x14ac:dyDescent="0.3">
      <c r="A5" s="15" t="s">
        <v>133</v>
      </c>
      <c r="B5" s="16" t="s">
        <v>42</v>
      </c>
      <c r="C5" s="16" t="s">
        <v>34</v>
      </c>
      <c r="D5" s="16" t="s">
        <v>81</v>
      </c>
      <c r="E5" s="17">
        <v>126</v>
      </c>
      <c r="F5" s="11">
        <f t="shared" si="0"/>
        <v>63</v>
      </c>
      <c r="G5" s="17">
        <v>79</v>
      </c>
      <c r="H5" s="11">
        <f t="shared" si="1"/>
        <v>71.818181818181813</v>
      </c>
      <c r="I5" s="17">
        <v>97.78</v>
      </c>
      <c r="J5" s="17">
        <v>54</v>
      </c>
      <c r="K5" s="11">
        <f t="shared" si="2"/>
        <v>49.090909090909093</v>
      </c>
      <c r="L5" s="17">
        <v>39</v>
      </c>
      <c r="M5" s="18">
        <v>100</v>
      </c>
      <c r="N5" s="13">
        <f t="shared" si="3"/>
        <v>67.623454545454535</v>
      </c>
      <c r="O5" s="19"/>
    </row>
    <row r="6" spans="1:15" ht="20.100000000000001" customHeight="1" x14ac:dyDescent="0.3">
      <c r="A6" s="15" t="s">
        <v>134</v>
      </c>
      <c r="B6" s="16" t="s">
        <v>44</v>
      </c>
      <c r="C6" s="16" t="s">
        <v>55</v>
      </c>
      <c r="D6" s="16" t="s">
        <v>82</v>
      </c>
      <c r="E6" s="17">
        <v>131</v>
      </c>
      <c r="F6" s="11">
        <f t="shared" si="0"/>
        <v>65.5</v>
      </c>
      <c r="G6" s="17">
        <v>88</v>
      </c>
      <c r="H6" s="11">
        <f t="shared" si="1"/>
        <v>80</v>
      </c>
      <c r="I6" s="17">
        <v>88.89</v>
      </c>
      <c r="J6" s="17">
        <v>53</v>
      </c>
      <c r="K6" s="11">
        <f t="shared" si="2"/>
        <v>48.18181818181818</v>
      </c>
      <c r="L6" s="17">
        <v>61</v>
      </c>
      <c r="M6" s="18">
        <v>100</v>
      </c>
      <c r="N6" s="13">
        <f t="shared" si="3"/>
        <v>72.457181818181823</v>
      </c>
      <c r="O6" s="19"/>
    </row>
    <row r="7" spans="1:15" ht="20.100000000000001" customHeight="1" x14ac:dyDescent="0.3">
      <c r="A7" s="15" t="s">
        <v>135</v>
      </c>
      <c r="B7" s="16" t="s">
        <v>45</v>
      </c>
      <c r="C7" s="16" t="s">
        <v>51</v>
      </c>
      <c r="D7" s="16" t="s">
        <v>83</v>
      </c>
      <c r="E7" s="17">
        <v>156</v>
      </c>
      <c r="F7" s="11">
        <f t="shared" si="0"/>
        <v>78</v>
      </c>
      <c r="G7" s="17">
        <v>63</v>
      </c>
      <c r="H7" s="11">
        <f t="shared" si="1"/>
        <v>57.272727272727273</v>
      </c>
      <c r="I7" s="17">
        <v>95.56</v>
      </c>
      <c r="J7" s="17">
        <v>55</v>
      </c>
      <c r="K7" s="11">
        <f t="shared" si="2"/>
        <v>50</v>
      </c>
      <c r="L7" s="17">
        <v>70</v>
      </c>
      <c r="M7" s="18">
        <v>80</v>
      </c>
      <c r="N7" s="13">
        <f t="shared" si="3"/>
        <v>69.001454545454536</v>
      </c>
      <c r="O7" s="19"/>
    </row>
    <row r="8" spans="1:15" ht="20.100000000000001" customHeight="1" x14ac:dyDescent="0.3">
      <c r="A8" s="15" t="s">
        <v>136</v>
      </c>
      <c r="B8" s="16" t="s">
        <v>45</v>
      </c>
      <c r="C8" s="16" t="s">
        <v>56</v>
      </c>
      <c r="D8" s="16" t="s">
        <v>84</v>
      </c>
      <c r="E8" s="17">
        <v>120</v>
      </c>
      <c r="F8" s="11">
        <f t="shared" si="0"/>
        <v>60</v>
      </c>
      <c r="G8" s="17">
        <v>47</v>
      </c>
      <c r="H8" s="11">
        <f t="shared" si="1"/>
        <v>42.727272727272727</v>
      </c>
      <c r="I8" s="17">
        <v>88.89</v>
      </c>
      <c r="J8" s="17">
        <v>59</v>
      </c>
      <c r="K8" s="11">
        <f t="shared" si="2"/>
        <v>53.636363636363633</v>
      </c>
      <c r="L8" s="17">
        <v>51</v>
      </c>
      <c r="M8" s="18">
        <v>60</v>
      </c>
      <c r="N8" s="13">
        <f t="shared" si="3"/>
        <v>55.307181818181824</v>
      </c>
      <c r="O8" s="19"/>
    </row>
    <row r="9" spans="1:15" ht="20.100000000000001" customHeight="1" x14ac:dyDescent="0.3">
      <c r="A9" s="15" t="s">
        <v>137</v>
      </c>
      <c r="B9" s="16" t="s">
        <v>44</v>
      </c>
      <c r="C9" s="16" t="s">
        <v>57</v>
      </c>
      <c r="D9" s="16" t="s">
        <v>85</v>
      </c>
      <c r="E9" s="17">
        <v>136</v>
      </c>
      <c r="F9" s="11">
        <f t="shared" si="0"/>
        <v>68</v>
      </c>
      <c r="G9" s="17">
        <v>64</v>
      </c>
      <c r="H9" s="11">
        <f t="shared" si="1"/>
        <v>58.18181818181818</v>
      </c>
      <c r="I9" s="17">
        <v>100</v>
      </c>
      <c r="J9" s="17">
        <v>80</v>
      </c>
      <c r="K9" s="11">
        <f t="shared" si="2"/>
        <v>72.727272727272734</v>
      </c>
      <c r="L9" s="17">
        <v>44</v>
      </c>
      <c r="M9" s="18">
        <v>100</v>
      </c>
      <c r="N9" s="13">
        <f t="shared" si="3"/>
        <v>67.436363636363637</v>
      </c>
      <c r="O9" s="19"/>
    </row>
    <row r="10" spans="1:15" ht="20.100000000000001" customHeight="1" x14ac:dyDescent="0.3">
      <c r="A10" s="15" t="s">
        <v>138</v>
      </c>
      <c r="B10" s="16" t="s">
        <v>4</v>
      </c>
      <c r="C10" s="16" t="s">
        <v>58</v>
      </c>
      <c r="D10" s="16" t="s">
        <v>86</v>
      </c>
      <c r="E10" s="17">
        <v>129</v>
      </c>
      <c r="F10" s="11">
        <f t="shared" si="0"/>
        <v>64.5</v>
      </c>
      <c r="G10" s="17">
        <v>73</v>
      </c>
      <c r="H10" s="11">
        <f t="shared" si="1"/>
        <v>66.36363636363636</v>
      </c>
      <c r="I10" s="17">
        <v>100</v>
      </c>
      <c r="J10" s="17">
        <v>61</v>
      </c>
      <c r="K10" s="11">
        <f t="shared" si="2"/>
        <v>55.454545454545453</v>
      </c>
      <c r="L10" s="17">
        <v>74</v>
      </c>
      <c r="M10" s="18">
        <v>100</v>
      </c>
      <c r="N10" s="13">
        <f t="shared" si="3"/>
        <v>70.522727272727266</v>
      </c>
      <c r="O10" s="19"/>
    </row>
    <row r="11" spans="1:15" ht="20.100000000000001" customHeight="1" x14ac:dyDescent="0.3">
      <c r="A11" s="15" t="s">
        <v>139</v>
      </c>
      <c r="B11" s="16" t="s">
        <v>4</v>
      </c>
      <c r="C11" s="16" t="s">
        <v>59</v>
      </c>
      <c r="D11" s="16" t="s">
        <v>87</v>
      </c>
      <c r="E11" s="17">
        <v>150</v>
      </c>
      <c r="F11" s="11">
        <f t="shared" si="0"/>
        <v>75</v>
      </c>
      <c r="G11" s="17">
        <v>72</v>
      </c>
      <c r="H11" s="11">
        <f t="shared" si="1"/>
        <v>65.454545454545453</v>
      </c>
      <c r="I11" s="17">
        <v>96.67</v>
      </c>
      <c r="J11" s="17">
        <v>59</v>
      </c>
      <c r="K11" s="11">
        <f t="shared" si="2"/>
        <v>53.636363636363633</v>
      </c>
      <c r="L11" s="17">
        <v>67</v>
      </c>
      <c r="M11" s="18">
        <v>100</v>
      </c>
      <c r="N11" s="13">
        <f t="shared" si="3"/>
        <v>72.139727272727271</v>
      </c>
      <c r="O11" s="19"/>
    </row>
    <row r="12" spans="1:15" ht="20.100000000000001" customHeight="1" x14ac:dyDescent="0.3">
      <c r="A12" s="15" t="s">
        <v>140</v>
      </c>
      <c r="B12" s="16" t="s">
        <v>4</v>
      </c>
      <c r="C12" s="16" t="s">
        <v>60</v>
      </c>
      <c r="D12" s="16" t="s">
        <v>88</v>
      </c>
      <c r="E12" s="17">
        <v>134</v>
      </c>
      <c r="F12" s="11">
        <f t="shared" si="0"/>
        <v>67</v>
      </c>
      <c r="G12" s="17">
        <v>62</v>
      </c>
      <c r="H12" s="11">
        <f t="shared" si="1"/>
        <v>56.363636363636367</v>
      </c>
      <c r="I12" s="17">
        <v>98.89</v>
      </c>
      <c r="J12" s="17">
        <v>46</v>
      </c>
      <c r="K12" s="11">
        <f t="shared" si="2"/>
        <v>41.81818181818182</v>
      </c>
      <c r="L12" s="17">
        <v>28</v>
      </c>
      <c r="M12" s="18">
        <v>80</v>
      </c>
      <c r="N12" s="13">
        <f t="shared" si="3"/>
        <v>60.698090909090908</v>
      </c>
      <c r="O12" s="19"/>
    </row>
    <row r="13" spans="1:15" ht="20.100000000000001" customHeight="1" x14ac:dyDescent="0.3">
      <c r="A13" s="15" t="s">
        <v>141</v>
      </c>
      <c r="B13" s="16" t="s">
        <v>4</v>
      </c>
      <c r="C13" s="16" t="s">
        <v>61</v>
      </c>
      <c r="D13" s="16" t="s">
        <v>89</v>
      </c>
      <c r="E13" s="17">
        <v>106</v>
      </c>
      <c r="F13" s="11">
        <f t="shared" si="0"/>
        <v>53</v>
      </c>
      <c r="G13" s="17">
        <v>92</v>
      </c>
      <c r="H13" s="11">
        <f t="shared" si="1"/>
        <v>83.63636363636364</v>
      </c>
      <c r="I13" s="17">
        <v>98.89</v>
      </c>
      <c r="J13" s="17">
        <v>28</v>
      </c>
      <c r="K13" s="11">
        <f t="shared" si="2"/>
        <v>25.454545454545453</v>
      </c>
      <c r="L13" s="17">
        <v>42</v>
      </c>
      <c r="M13" s="18">
        <v>80</v>
      </c>
      <c r="N13" s="13">
        <f t="shared" si="3"/>
        <v>65.807181818181817</v>
      </c>
      <c r="O13" s="19"/>
    </row>
    <row r="14" spans="1:15" ht="20.100000000000001" customHeight="1" x14ac:dyDescent="0.3">
      <c r="A14" s="15" t="s">
        <v>142</v>
      </c>
      <c r="B14" s="16" t="s">
        <v>4</v>
      </c>
      <c r="C14" s="16" t="s">
        <v>62</v>
      </c>
      <c r="D14" s="16" t="s">
        <v>90</v>
      </c>
      <c r="E14" s="17">
        <v>65</v>
      </c>
      <c r="F14" s="11">
        <f t="shared" si="0"/>
        <v>32.5</v>
      </c>
      <c r="G14" s="17">
        <v>18</v>
      </c>
      <c r="H14" s="11">
        <f t="shared" si="1"/>
        <v>16.363636363636363</v>
      </c>
      <c r="I14" s="17">
        <v>87.78</v>
      </c>
      <c r="J14" s="17">
        <v>15</v>
      </c>
      <c r="K14" s="11">
        <f t="shared" si="2"/>
        <v>13.636363636363637</v>
      </c>
      <c r="L14" s="17">
        <v>14</v>
      </c>
      <c r="M14" s="18">
        <v>60</v>
      </c>
      <c r="N14" s="13">
        <f t="shared" si="3"/>
        <v>30.018909090909087</v>
      </c>
      <c r="O14" s="19"/>
    </row>
    <row r="15" spans="1:15" ht="20.100000000000001" customHeight="1" x14ac:dyDescent="0.3">
      <c r="A15" s="15" t="s">
        <v>143</v>
      </c>
      <c r="B15" s="16" t="s">
        <v>43</v>
      </c>
      <c r="C15" s="16" t="s">
        <v>63</v>
      </c>
      <c r="D15" s="16" t="s">
        <v>91</v>
      </c>
      <c r="E15" s="17">
        <v>71</v>
      </c>
      <c r="F15" s="11">
        <f t="shared" si="0"/>
        <v>35.5</v>
      </c>
      <c r="G15" s="17">
        <v>0</v>
      </c>
      <c r="H15" s="11">
        <f t="shared" si="1"/>
        <v>0</v>
      </c>
      <c r="I15" s="17">
        <v>93.33</v>
      </c>
      <c r="J15" s="17">
        <v>26</v>
      </c>
      <c r="K15" s="11">
        <f t="shared" si="2"/>
        <v>23.636363636363637</v>
      </c>
      <c r="L15" s="17">
        <v>29</v>
      </c>
      <c r="M15" s="18">
        <v>60</v>
      </c>
      <c r="N15" s="13">
        <f t="shared" si="3"/>
        <v>28.246636363636362</v>
      </c>
      <c r="O15" s="19"/>
    </row>
    <row r="16" spans="1:15" ht="20.100000000000001" customHeight="1" x14ac:dyDescent="0.3">
      <c r="A16" s="15" t="s">
        <v>144</v>
      </c>
      <c r="B16" s="16" t="s">
        <v>44</v>
      </c>
      <c r="C16" s="16" t="s">
        <v>64</v>
      </c>
      <c r="D16" s="16" t="s">
        <v>92</v>
      </c>
      <c r="E16" s="17">
        <v>108</v>
      </c>
      <c r="F16" s="11">
        <f t="shared" si="0"/>
        <v>54</v>
      </c>
      <c r="G16" s="17">
        <v>64</v>
      </c>
      <c r="H16" s="11">
        <f t="shared" si="1"/>
        <v>58.18181818181818</v>
      </c>
      <c r="I16" s="17">
        <v>100</v>
      </c>
      <c r="J16" s="17">
        <v>44</v>
      </c>
      <c r="K16" s="11">
        <f t="shared" si="2"/>
        <v>40</v>
      </c>
      <c r="L16" s="17">
        <v>48</v>
      </c>
      <c r="M16" s="18">
        <v>100</v>
      </c>
      <c r="N16" s="13">
        <f t="shared" si="3"/>
        <v>60.36363636363636</v>
      </c>
      <c r="O16" s="19"/>
    </row>
    <row r="17" spans="1:15" ht="20.100000000000001" customHeight="1" x14ac:dyDescent="0.3">
      <c r="A17" s="15" t="s">
        <v>145</v>
      </c>
      <c r="B17" s="16" t="s">
        <v>4</v>
      </c>
      <c r="C17" s="16" t="s">
        <v>65</v>
      </c>
      <c r="D17" s="16" t="s">
        <v>33</v>
      </c>
      <c r="E17" s="17">
        <v>134</v>
      </c>
      <c r="F17" s="11">
        <f t="shared" si="0"/>
        <v>67</v>
      </c>
      <c r="G17" s="17">
        <v>54</v>
      </c>
      <c r="H17" s="11">
        <f t="shared" si="1"/>
        <v>49.090909090909093</v>
      </c>
      <c r="I17" s="17">
        <v>100</v>
      </c>
      <c r="J17" s="17">
        <v>59</v>
      </c>
      <c r="K17" s="11">
        <f t="shared" si="2"/>
        <v>53.636363636363633</v>
      </c>
      <c r="L17" s="17">
        <v>63</v>
      </c>
      <c r="M17" s="18">
        <v>100</v>
      </c>
      <c r="N17" s="13">
        <f t="shared" si="3"/>
        <v>63.945454545454538</v>
      </c>
      <c r="O17" s="19"/>
    </row>
    <row r="18" spans="1:15" ht="20.100000000000001" customHeight="1" x14ac:dyDescent="0.3">
      <c r="A18" s="15" t="s">
        <v>146</v>
      </c>
      <c r="B18" s="16" t="s">
        <v>45</v>
      </c>
      <c r="C18" s="16" t="s">
        <v>66</v>
      </c>
      <c r="D18" s="16" t="s">
        <v>93</v>
      </c>
      <c r="E18" s="17">
        <v>141</v>
      </c>
      <c r="F18" s="11">
        <f t="shared" si="0"/>
        <v>70.5</v>
      </c>
      <c r="G18" s="17">
        <v>64</v>
      </c>
      <c r="H18" s="11">
        <f t="shared" si="1"/>
        <v>58.18181818181818</v>
      </c>
      <c r="I18" s="17">
        <v>100</v>
      </c>
      <c r="J18" s="17">
        <v>61</v>
      </c>
      <c r="K18" s="11">
        <f t="shared" si="2"/>
        <v>55.454545454545453</v>
      </c>
      <c r="L18" s="17">
        <v>26</v>
      </c>
      <c r="M18" s="18">
        <v>100</v>
      </c>
      <c r="N18" s="13">
        <f t="shared" si="3"/>
        <v>64.659090909090907</v>
      </c>
      <c r="O18" s="19"/>
    </row>
    <row r="19" spans="1:15" ht="20.100000000000001" customHeight="1" x14ac:dyDescent="0.3">
      <c r="A19" s="15" t="s">
        <v>147</v>
      </c>
      <c r="B19" s="16" t="s">
        <v>44</v>
      </c>
      <c r="C19" s="16" t="s">
        <v>67</v>
      </c>
      <c r="D19" s="16" t="s">
        <v>94</v>
      </c>
      <c r="E19" s="17">
        <v>117</v>
      </c>
      <c r="F19" s="11">
        <f t="shared" si="0"/>
        <v>58.5</v>
      </c>
      <c r="G19" s="17">
        <v>71</v>
      </c>
      <c r="H19" s="11">
        <f t="shared" si="1"/>
        <v>64.545454545454547</v>
      </c>
      <c r="I19" s="17">
        <v>100</v>
      </c>
      <c r="J19" s="17">
        <v>80</v>
      </c>
      <c r="K19" s="11">
        <f t="shared" si="2"/>
        <v>72.727272727272734</v>
      </c>
      <c r="L19" s="17">
        <v>74</v>
      </c>
      <c r="M19" s="18">
        <v>100</v>
      </c>
      <c r="N19" s="13">
        <f t="shared" si="3"/>
        <v>69.813636363636363</v>
      </c>
      <c r="O19" s="19"/>
    </row>
    <row r="20" spans="1:15" ht="20.100000000000001" customHeight="1" x14ac:dyDescent="0.3">
      <c r="A20" s="15" t="s">
        <v>148</v>
      </c>
      <c r="B20" s="16" t="s">
        <v>4</v>
      </c>
      <c r="C20" s="16" t="s">
        <v>68</v>
      </c>
      <c r="D20" s="16" t="s">
        <v>95</v>
      </c>
      <c r="E20" s="17">
        <v>139</v>
      </c>
      <c r="F20" s="11">
        <f t="shared" si="0"/>
        <v>69.5</v>
      </c>
      <c r="G20" s="17">
        <v>89</v>
      </c>
      <c r="H20" s="11">
        <f t="shared" si="1"/>
        <v>80.909090909090907</v>
      </c>
      <c r="I20" s="17">
        <v>96.67</v>
      </c>
      <c r="J20" s="17">
        <v>60</v>
      </c>
      <c r="K20" s="11">
        <f t="shared" si="2"/>
        <v>54.545454545454547</v>
      </c>
      <c r="L20" s="17">
        <v>87</v>
      </c>
      <c r="M20" s="18">
        <v>100</v>
      </c>
      <c r="N20" s="13">
        <f t="shared" si="3"/>
        <v>77.989727272727279</v>
      </c>
      <c r="O20" s="19"/>
    </row>
    <row r="21" spans="1:15" ht="20.100000000000001" customHeight="1" x14ac:dyDescent="0.3">
      <c r="A21" s="15" t="s">
        <v>149</v>
      </c>
      <c r="B21" s="16" t="s">
        <v>45</v>
      </c>
      <c r="C21" s="16" t="s">
        <v>69</v>
      </c>
      <c r="D21" s="16" t="s">
        <v>96</v>
      </c>
      <c r="E21" s="17">
        <v>145</v>
      </c>
      <c r="F21" s="11">
        <f t="shared" si="0"/>
        <v>72.5</v>
      </c>
      <c r="G21" s="17">
        <v>93</v>
      </c>
      <c r="H21" s="11">
        <f t="shared" si="1"/>
        <v>84.545454545454547</v>
      </c>
      <c r="I21" s="17">
        <v>98.89</v>
      </c>
      <c r="J21" s="17">
        <v>74</v>
      </c>
      <c r="K21" s="11">
        <f t="shared" si="2"/>
        <v>67.272727272727266</v>
      </c>
      <c r="L21" s="17">
        <v>50</v>
      </c>
      <c r="M21" s="18">
        <v>100</v>
      </c>
      <c r="N21" s="13">
        <f t="shared" si="3"/>
        <v>77.957181818181823</v>
      </c>
      <c r="O21" s="19"/>
    </row>
    <row r="22" spans="1:15" ht="20.100000000000001" customHeight="1" x14ac:dyDescent="0.3">
      <c r="A22" s="15" t="s">
        <v>150</v>
      </c>
      <c r="B22" s="16" t="s">
        <v>45</v>
      </c>
      <c r="C22" s="16" t="s">
        <v>70</v>
      </c>
      <c r="D22" s="16" t="s">
        <v>97</v>
      </c>
      <c r="E22" s="17">
        <v>82</v>
      </c>
      <c r="F22" s="11">
        <f t="shared" si="0"/>
        <v>41</v>
      </c>
      <c r="G22" s="17">
        <v>50</v>
      </c>
      <c r="H22" s="11">
        <f t="shared" si="1"/>
        <v>45.454545454545453</v>
      </c>
      <c r="I22" s="17">
        <v>94.44</v>
      </c>
      <c r="J22" s="17">
        <v>54</v>
      </c>
      <c r="K22" s="11">
        <f t="shared" si="2"/>
        <v>49.090909090909093</v>
      </c>
      <c r="L22" s="17">
        <v>26</v>
      </c>
      <c r="M22" s="18">
        <v>60</v>
      </c>
      <c r="N22" s="13">
        <f t="shared" si="3"/>
        <v>48.162181818181814</v>
      </c>
      <c r="O22" s="19"/>
    </row>
    <row r="23" spans="1:15" ht="20.100000000000001" customHeight="1" x14ac:dyDescent="0.3">
      <c r="A23" s="15" t="s">
        <v>151</v>
      </c>
      <c r="B23" s="16" t="s">
        <v>4</v>
      </c>
      <c r="C23" s="16" t="s">
        <v>71</v>
      </c>
      <c r="D23" s="16" t="s">
        <v>98</v>
      </c>
      <c r="E23" s="17">
        <v>131</v>
      </c>
      <c r="F23" s="11">
        <f t="shared" si="0"/>
        <v>65.5</v>
      </c>
      <c r="G23" s="17">
        <v>56</v>
      </c>
      <c r="H23" s="11">
        <f t="shared" si="1"/>
        <v>50.909090909090907</v>
      </c>
      <c r="I23" s="17">
        <v>94.44</v>
      </c>
      <c r="J23" s="17">
        <v>47</v>
      </c>
      <c r="K23" s="11">
        <f t="shared" si="2"/>
        <v>42.727272727272727</v>
      </c>
      <c r="L23" s="17">
        <v>48</v>
      </c>
      <c r="M23" s="18">
        <v>80</v>
      </c>
      <c r="N23" s="13">
        <f t="shared" si="3"/>
        <v>59.984909090909099</v>
      </c>
      <c r="O23" s="19"/>
    </row>
    <row r="24" spans="1:15" ht="20.100000000000001" customHeight="1" x14ac:dyDescent="0.3">
      <c r="A24" s="15" t="s">
        <v>152</v>
      </c>
      <c r="B24" s="16" t="s">
        <v>44</v>
      </c>
      <c r="C24" s="16" t="s">
        <v>72</v>
      </c>
      <c r="D24" s="16" t="s">
        <v>99</v>
      </c>
      <c r="E24" s="17">
        <v>111</v>
      </c>
      <c r="F24" s="11">
        <f t="shared" si="0"/>
        <v>55.5</v>
      </c>
      <c r="G24" s="17">
        <v>60</v>
      </c>
      <c r="H24" s="11">
        <f t="shared" si="1"/>
        <v>54.545454545454547</v>
      </c>
      <c r="I24" s="17">
        <v>94.44</v>
      </c>
      <c r="J24" s="17">
        <v>47</v>
      </c>
      <c r="K24" s="11">
        <f t="shared" si="2"/>
        <v>42.727272727272727</v>
      </c>
      <c r="L24" s="17">
        <v>30</v>
      </c>
      <c r="M24" s="18">
        <v>80</v>
      </c>
      <c r="N24" s="13">
        <f t="shared" si="3"/>
        <v>56.457636363636361</v>
      </c>
      <c r="O24" s="19"/>
    </row>
    <row r="25" spans="1:15" ht="20.100000000000001" customHeight="1" x14ac:dyDescent="0.3">
      <c r="A25" s="15" t="s">
        <v>153</v>
      </c>
      <c r="B25" s="16" t="s">
        <v>4</v>
      </c>
      <c r="C25" s="16" t="s">
        <v>73</v>
      </c>
      <c r="D25" s="16" t="s">
        <v>100</v>
      </c>
      <c r="E25" s="17">
        <v>130</v>
      </c>
      <c r="F25" s="11">
        <f t="shared" si="0"/>
        <v>65</v>
      </c>
      <c r="G25" s="17">
        <v>0</v>
      </c>
      <c r="H25" s="11">
        <f t="shared" si="1"/>
        <v>0</v>
      </c>
      <c r="I25" s="17">
        <v>60</v>
      </c>
      <c r="J25" s="17">
        <v>57</v>
      </c>
      <c r="K25" s="11">
        <f t="shared" si="2"/>
        <v>51.81818181818182</v>
      </c>
      <c r="L25" s="17">
        <v>0</v>
      </c>
      <c r="M25" s="18">
        <v>0</v>
      </c>
      <c r="N25" s="13">
        <f t="shared" si="3"/>
        <v>30.681818181818183</v>
      </c>
      <c r="O25" s="19"/>
    </row>
    <row r="26" spans="1:15" ht="20.100000000000001" customHeight="1" x14ac:dyDescent="0.3">
      <c r="A26" s="15" t="s">
        <v>154</v>
      </c>
      <c r="B26" s="16" t="s">
        <v>4</v>
      </c>
      <c r="C26" s="16" t="s">
        <v>74</v>
      </c>
      <c r="D26" s="16" t="s">
        <v>101</v>
      </c>
      <c r="E26" s="17">
        <v>162</v>
      </c>
      <c r="F26" s="11">
        <f t="shared" si="0"/>
        <v>81</v>
      </c>
      <c r="G26" s="17">
        <v>80</v>
      </c>
      <c r="H26" s="11">
        <f t="shared" si="1"/>
        <v>72.727272727272734</v>
      </c>
      <c r="I26" s="17">
        <v>96.67</v>
      </c>
      <c r="J26" s="17">
        <v>55</v>
      </c>
      <c r="K26" s="11">
        <f t="shared" si="2"/>
        <v>50</v>
      </c>
      <c r="L26" s="17">
        <v>83</v>
      </c>
      <c r="M26" s="18">
        <v>100</v>
      </c>
      <c r="N26" s="13">
        <f t="shared" si="3"/>
        <v>77.721545454545449</v>
      </c>
      <c r="O26" s="19"/>
    </row>
    <row r="27" spans="1:15" ht="20.100000000000001" customHeight="1" x14ac:dyDescent="0.3">
      <c r="A27" s="15" t="s">
        <v>5</v>
      </c>
      <c r="B27" s="16" t="s">
        <v>4</v>
      </c>
      <c r="C27" s="16" t="s">
        <v>75</v>
      </c>
      <c r="D27" s="16" t="s">
        <v>102</v>
      </c>
      <c r="E27" s="17">
        <v>141</v>
      </c>
      <c r="F27" s="11">
        <f t="shared" si="0"/>
        <v>70.5</v>
      </c>
      <c r="G27" s="17">
        <v>85</v>
      </c>
      <c r="H27" s="11">
        <f t="shared" si="1"/>
        <v>77.272727272727266</v>
      </c>
      <c r="I27" s="17">
        <v>100</v>
      </c>
      <c r="J27" s="17">
        <v>70</v>
      </c>
      <c r="K27" s="11">
        <f t="shared" si="2"/>
        <v>63.636363636363633</v>
      </c>
      <c r="L27" s="17">
        <v>77</v>
      </c>
      <c r="M27" s="18">
        <v>100</v>
      </c>
      <c r="N27" s="13">
        <f t="shared" si="3"/>
        <v>77.259090909090901</v>
      </c>
      <c r="O27" s="19"/>
    </row>
    <row r="28" spans="1:15" ht="20.100000000000001" customHeight="1" x14ac:dyDescent="0.3">
      <c r="A28" s="15" t="s">
        <v>6</v>
      </c>
      <c r="B28" s="16" t="s">
        <v>4</v>
      </c>
      <c r="C28" s="16" t="s">
        <v>76</v>
      </c>
      <c r="D28" s="16" t="s">
        <v>103</v>
      </c>
      <c r="E28" s="17">
        <v>153</v>
      </c>
      <c r="F28" s="11">
        <f t="shared" si="0"/>
        <v>76.5</v>
      </c>
      <c r="G28" s="17">
        <v>105</v>
      </c>
      <c r="H28" s="11">
        <f t="shared" si="1"/>
        <v>95.454545454545453</v>
      </c>
      <c r="I28" s="17">
        <v>100</v>
      </c>
      <c r="J28" s="17">
        <v>81</v>
      </c>
      <c r="K28" s="11">
        <f t="shared" si="2"/>
        <v>73.63636363636364</v>
      </c>
      <c r="L28" s="17">
        <v>83</v>
      </c>
      <c r="M28" s="18">
        <v>100</v>
      </c>
      <c r="N28" s="13">
        <f t="shared" si="3"/>
        <v>87.022727272727266</v>
      </c>
      <c r="O28" s="19"/>
    </row>
    <row r="29" spans="1:15" ht="20.100000000000001" customHeight="1" x14ac:dyDescent="0.3">
      <c r="A29" s="15" t="s">
        <v>7</v>
      </c>
      <c r="B29" s="16" t="s">
        <v>4</v>
      </c>
      <c r="C29" s="16" t="s">
        <v>77</v>
      </c>
      <c r="D29" s="16" t="s">
        <v>104</v>
      </c>
      <c r="E29" s="17">
        <v>86</v>
      </c>
      <c r="F29" s="11">
        <f t="shared" si="0"/>
        <v>43</v>
      </c>
      <c r="G29" s="17">
        <v>21</v>
      </c>
      <c r="H29" s="11">
        <f t="shared" si="1"/>
        <v>19.09090909090909</v>
      </c>
      <c r="I29" s="17">
        <v>78.89</v>
      </c>
      <c r="J29" s="17">
        <v>56</v>
      </c>
      <c r="K29" s="11">
        <f t="shared" si="2"/>
        <v>50.909090909090907</v>
      </c>
      <c r="L29" s="17">
        <v>13</v>
      </c>
      <c r="M29" s="18">
        <v>40</v>
      </c>
      <c r="N29" s="13">
        <f t="shared" si="3"/>
        <v>35.861727272727272</v>
      </c>
      <c r="O29" s="19"/>
    </row>
    <row r="30" spans="1:15" ht="20.100000000000001" customHeight="1" x14ac:dyDescent="0.3">
      <c r="A30" s="15" t="s">
        <v>8</v>
      </c>
      <c r="B30" s="17">
        <v>3</v>
      </c>
      <c r="C30" s="17">
        <v>201710327</v>
      </c>
      <c r="D30" s="17" t="s">
        <v>106</v>
      </c>
      <c r="E30" s="17">
        <v>113</v>
      </c>
      <c r="F30" s="11">
        <f t="shared" si="0"/>
        <v>56.5</v>
      </c>
      <c r="G30" s="17">
        <v>89</v>
      </c>
      <c r="H30" s="11">
        <f t="shared" si="1"/>
        <v>80.909090909090907</v>
      </c>
      <c r="I30" s="17">
        <v>100</v>
      </c>
      <c r="J30" s="17">
        <v>66</v>
      </c>
      <c r="K30" s="11">
        <f t="shared" si="2"/>
        <v>60</v>
      </c>
      <c r="L30" s="17">
        <v>75</v>
      </c>
      <c r="M30" s="18">
        <v>100</v>
      </c>
      <c r="N30" s="13">
        <f t="shared" si="3"/>
        <v>73.768181818181816</v>
      </c>
      <c r="O30" s="19"/>
    </row>
    <row r="31" spans="1:15" ht="20.100000000000001" customHeight="1" x14ac:dyDescent="0.3">
      <c r="A31" s="15" t="s">
        <v>9</v>
      </c>
      <c r="B31" s="17">
        <v>2</v>
      </c>
      <c r="C31" s="17">
        <v>201810573</v>
      </c>
      <c r="D31" s="17" t="s">
        <v>107</v>
      </c>
      <c r="E31" s="17">
        <v>124</v>
      </c>
      <c r="F31" s="11">
        <f t="shared" si="0"/>
        <v>62</v>
      </c>
      <c r="G31" s="17">
        <v>97</v>
      </c>
      <c r="H31" s="11">
        <f t="shared" si="1"/>
        <v>88.181818181818187</v>
      </c>
      <c r="I31" s="17">
        <v>96.67</v>
      </c>
      <c r="J31" s="17">
        <v>60</v>
      </c>
      <c r="K31" s="11">
        <f t="shared" si="2"/>
        <v>54.545454545454547</v>
      </c>
      <c r="L31" s="17">
        <v>74</v>
      </c>
      <c r="M31" s="18">
        <v>100</v>
      </c>
      <c r="N31" s="13">
        <f t="shared" si="3"/>
        <v>76.985181818181829</v>
      </c>
      <c r="O31" s="19"/>
    </row>
    <row r="32" spans="1:15" ht="20.100000000000001" customHeight="1" x14ac:dyDescent="0.3">
      <c r="A32" s="15" t="s">
        <v>10</v>
      </c>
      <c r="B32" s="17">
        <v>4</v>
      </c>
      <c r="C32" s="17">
        <v>201610256</v>
      </c>
      <c r="D32" s="17" t="s">
        <v>108</v>
      </c>
      <c r="E32" s="17">
        <v>57</v>
      </c>
      <c r="F32" s="11">
        <f t="shared" si="0"/>
        <v>28.5</v>
      </c>
      <c r="G32" s="17">
        <v>47</v>
      </c>
      <c r="H32" s="11">
        <f t="shared" si="1"/>
        <v>42.727272727272727</v>
      </c>
      <c r="I32" s="17">
        <v>90</v>
      </c>
      <c r="J32" s="17">
        <v>58</v>
      </c>
      <c r="K32" s="11">
        <f t="shared" si="2"/>
        <v>52.727272727272727</v>
      </c>
      <c r="L32" s="17">
        <v>21</v>
      </c>
      <c r="M32" s="18">
        <v>100</v>
      </c>
      <c r="N32" s="13">
        <f t="shared" si="3"/>
        <v>44.877272727272725</v>
      </c>
      <c r="O32" s="19"/>
    </row>
    <row r="33" spans="1:15" ht="20.100000000000001" customHeight="1" x14ac:dyDescent="0.3">
      <c r="A33" s="15" t="s">
        <v>11</v>
      </c>
      <c r="B33" s="17">
        <v>4</v>
      </c>
      <c r="C33" s="17">
        <v>201610162</v>
      </c>
      <c r="D33" s="17" t="s">
        <v>109</v>
      </c>
      <c r="E33" s="17">
        <v>111</v>
      </c>
      <c r="F33" s="11">
        <f t="shared" si="0"/>
        <v>55.5</v>
      </c>
      <c r="G33" s="17">
        <v>52</v>
      </c>
      <c r="H33" s="11">
        <f t="shared" si="1"/>
        <v>47.272727272727273</v>
      </c>
      <c r="I33" s="17">
        <v>96.67</v>
      </c>
      <c r="J33" s="17">
        <v>23</v>
      </c>
      <c r="K33" s="11">
        <f t="shared" si="2"/>
        <v>20.90909090909091</v>
      </c>
      <c r="L33" s="17">
        <v>59</v>
      </c>
      <c r="M33" s="18">
        <v>70</v>
      </c>
      <c r="N33" s="13">
        <f t="shared" si="3"/>
        <v>54.353363636363632</v>
      </c>
      <c r="O33" s="19"/>
    </row>
    <row r="34" spans="1:15" ht="20.100000000000001" customHeight="1" x14ac:dyDescent="0.3">
      <c r="A34" s="15" t="s">
        <v>12</v>
      </c>
      <c r="B34" s="17">
        <v>4</v>
      </c>
      <c r="C34" s="17">
        <v>201610102</v>
      </c>
      <c r="D34" s="17" t="s">
        <v>110</v>
      </c>
      <c r="E34" s="17">
        <v>46</v>
      </c>
      <c r="F34" s="11">
        <f t="shared" si="0"/>
        <v>23</v>
      </c>
      <c r="G34" s="17">
        <v>58</v>
      </c>
      <c r="H34" s="11">
        <f t="shared" si="1"/>
        <v>52.727272727272727</v>
      </c>
      <c r="I34" s="17">
        <v>86.67</v>
      </c>
      <c r="J34" s="17">
        <v>10</v>
      </c>
      <c r="K34" s="11">
        <f t="shared" si="2"/>
        <v>9.0909090909090917</v>
      </c>
      <c r="L34" s="17">
        <v>10</v>
      </c>
      <c r="M34" s="18">
        <v>60</v>
      </c>
      <c r="N34" s="13">
        <f t="shared" si="3"/>
        <v>38.93063636363636</v>
      </c>
      <c r="O34" s="19"/>
    </row>
    <row r="35" spans="1:15" ht="20.100000000000001" customHeight="1" x14ac:dyDescent="0.3">
      <c r="A35" s="15" t="s">
        <v>13</v>
      </c>
      <c r="B35" s="17">
        <v>1</v>
      </c>
      <c r="C35" s="17">
        <v>201810418</v>
      </c>
      <c r="D35" s="17" t="s">
        <v>111</v>
      </c>
      <c r="E35" s="17">
        <v>85</v>
      </c>
      <c r="F35" s="11">
        <f t="shared" si="0"/>
        <v>42.5</v>
      </c>
      <c r="G35" s="17">
        <v>58</v>
      </c>
      <c r="H35" s="11">
        <f t="shared" si="1"/>
        <v>52.727272727272727</v>
      </c>
      <c r="I35" s="17">
        <v>94.44</v>
      </c>
      <c r="J35" s="17">
        <v>40</v>
      </c>
      <c r="K35" s="11">
        <f t="shared" si="2"/>
        <v>36.363636363636367</v>
      </c>
      <c r="L35" s="17">
        <v>58</v>
      </c>
      <c r="M35" s="18">
        <v>60</v>
      </c>
      <c r="N35" s="13">
        <f t="shared" si="3"/>
        <v>53.084909090909093</v>
      </c>
      <c r="O35" s="19"/>
    </row>
    <row r="36" spans="1:15" ht="20.100000000000001" customHeight="1" x14ac:dyDescent="0.3">
      <c r="A36" s="15" t="s">
        <v>14</v>
      </c>
      <c r="B36" s="17">
        <v>2</v>
      </c>
      <c r="C36" s="17">
        <v>201710223</v>
      </c>
      <c r="D36" s="17" t="s">
        <v>112</v>
      </c>
      <c r="E36" s="17">
        <v>52</v>
      </c>
      <c r="F36" s="11">
        <f t="shared" si="0"/>
        <v>26</v>
      </c>
      <c r="G36" s="17">
        <v>56</v>
      </c>
      <c r="H36" s="11">
        <f t="shared" si="1"/>
        <v>50.909090909090907</v>
      </c>
      <c r="I36" s="17">
        <v>83.33</v>
      </c>
      <c r="J36" s="17">
        <v>31</v>
      </c>
      <c r="K36" s="11">
        <f t="shared" si="2"/>
        <v>28.181818181818183</v>
      </c>
      <c r="L36" s="17">
        <v>0</v>
      </c>
      <c r="M36" s="18">
        <v>60</v>
      </c>
      <c r="N36" s="13">
        <f t="shared" si="3"/>
        <v>39.769363636363636</v>
      </c>
      <c r="O36" s="19"/>
    </row>
    <row r="37" spans="1:15" ht="20.100000000000001" customHeight="1" x14ac:dyDescent="0.3">
      <c r="A37" s="15" t="s">
        <v>15</v>
      </c>
      <c r="B37" s="17">
        <v>2</v>
      </c>
      <c r="C37" s="17">
        <v>201710339</v>
      </c>
      <c r="D37" s="17" t="s">
        <v>113</v>
      </c>
      <c r="E37" s="17">
        <v>16</v>
      </c>
      <c r="F37" s="11">
        <f t="shared" si="0"/>
        <v>8</v>
      </c>
      <c r="G37" s="17">
        <v>20</v>
      </c>
      <c r="H37" s="11">
        <f t="shared" si="1"/>
        <v>18.181818181818183</v>
      </c>
      <c r="I37" s="17">
        <v>88.89</v>
      </c>
      <c r="J37" s="17">
        <v>20</v>
      </c>
      <c r="K37" s="11">
        <f t="shared" si="2"/>
        <v>18.181818181818183</v>
      </c>
      <c r="L37" s="17">
        <v>21</v>
      </c>
      <c r="M37" s="18">
        <v>100</v>
      </c>
      <c r="N37" s="13">
        <f t="shared" si="3"/>
        <v>26.570818181818183</v>
      </c>
      <c r="O37" s="19"/>
    </row>
    <row r="38" spans="1:15" ht="20.100000000000001" customHeight="1" x14ac:dyDescent="0.3">
      <c r="A38" s="15" t="s">
        <v>16</v>
      </c>
      <c r="B38" s="17">
        <v>2</v>
      </c>
      <c r="C38" s="17">
        <v>201810223</v>
      </c>
      <c r="D38" s="17" t="s">
        <v>114</v>
      </c>
      <c r="E38" s="17">
        <v>143</v>
      </c>
      <c r="F38" s="11">
        <f t="shared" si="0"/>
        <v>71.5</v>
      </c>
      <c r="G38" s="17">
        <v>82</v>
      </c>
      <c r="H38" s="11">
        <f t="shared" si="1"/>
        <v>74.545454545454547</v>
      </c>
      <c r="I38" s="17">
        <v>100</v>
      </c>
      <c r="J38" s="17">
        <v>48</v>
      </c>
      <c r="K38" s="11">
        <f t="shared" si="2"/>
        <v>43.636363636363633</v>
      </c>
      <c r="L38" s="17">
        <v>65</v>
      </c>
      <c r="M38" s="18">
        <v>100</v>
      </c>
      <c r="N38" s="13">
        <f t="shared" si="3"/>
        <v>73.404545454545456</v>
      </c>
      <c r="O38" s="19"/>
    </row>
    <row r="39" spans="1:15" ht="20.100000000000001" customHeight="1" x14ac:dyDescent="0.3">
      <c r="A39" s="15" t="s">
        <v>17</v>
      </c>
      <c r="B39" s="17">
        <v>3</v>
      </c>
      <c r="C39" s="17">
        <v>201510196</v>
      </c>
      <c r="D39" s="17" t="s">
        <v>115</v>
      </c>
      <c r="E39" s="17">
        <v>160</v>
      </c>
      <c r="F39" s="11">
        <f t="shared" si="0"/>
        <v>80</v>
      </c>
      <c r="G39" s="17">
        <v>79</v>
      </c>
      <c r="H39" s="11">
        <f t="shared" si="1"/>
        <v>71.818181818181813</v>
      </c>
      <c r="I39" s="17">
        <v>91.11</v>
      </c>
      <c r="J39" s="17">
        <v>67</v>
      </c>
      <c r="K39" s="11">
        <f t="shared" si="2"/>
        <v>60.909090909090907</v>
      </c>
      <c r="L39" s="17">
        <v>95</v>
      </c>
      <c r="M39" s="18">
        <v>100</v>
      </c>
      <c r="N39" s="13">
        <f t="shared" si="3"/>
        <v>78.838272727272724</v>
      </c>
      <c r="O39" s="19"/>
    </row>
    <row r="40" spans="1:15" ht="20.100000000000001" customHeight="1" x14ac:dyDescent="0.3">
      <c r="A40" s="15" t="s">
        <v>18</v>
      </c>
      <c r="B40" s="17">
        <v>2</v>
      </c>
      <c r="C40" s="17">
        <v>201610106</v>
      </c>
      <c r="D40" s="17" t="s">
        <v>116</v>
      </c>
      <c r="E40" s="17">
        <v>128</v>
      </c>
      <c r="F40" s="11">
        <f t="shared" si="0"/>
        <v>64</v>
      </c>
      <c r="G40" s="17">
        <v>85</v>
      </c>
      <c r="H40" s="11">
        <f t="shared" si="1"/>
        <v>77.272727272727266</v>
      </c>
      <c r="I40" s="17">
        <v>100</v>
      </c>
      <c r="J40" s="17">
        <v>60</v>
      </c>
      <c r="K40" s="11">
        <f t="shared" si="2"/>
        <v>54.545454545454547</v>
      </c>
      <c r="L40" s="17">
        <v>56</v>
      </c>
      <c r="M40" s="18">
        <v>100</v>
      </c>
      <c r="N40" s="13">
        <f t="shared" si="3"/>
        <v>72.3</v>
      </c>
      <c r="O40" s="19"/>
    </row>
    <row r="41" spans="1:15" ht="20.100000000000001" customHeight="1" x14ac:dyDescent="0.3">
      <c r="A41" s="15" t="s">
        <v>19</v>
      </c>
      <c r="B41" s="17">
        <v>2</v>
      </c>
      <c r="C41" s="17">
        <v>201710110</v>
      </c>
      <c r="D41" s="17" t="s">
        <v>117</v>
      </c>
      <c r="E41" s="17">
        <v>167</v>
      </c>
      <c r="F41" s="11">
        <f t="shared" si="0"/>
        <v>83.5</v>
      </c>
      <c r="G41" s="17">
        <v>99</v>
      </c>
      <c r="H41" s="11">
        <f t="shared" si="1"/>
        <v>90</v>
      </c>
      <c r="I41" s="17">
        <v>100</v>
      </c>
      <c r="J41" s="17">
        <v>102</v>
      </c>
      <c r="K41" s="11">
        <f t="shared" si="2"/>
        <v>92.727272727272734</v>
      </c>
      <c r="L41" s="17">
        <v>90</v>
      </c>
      <c r="M41" s="18">
        <v>100</v>
      </c>
      <c r="N41" s="13">
        <f t="shared" si="3"/>
        <v>89.822727272727263</v>
      </c>
      <c r="O41" s="19"/>
    </row>
    <row r="42" spans="1:15" ht="20.100000000000001" customHeight="1" x14ac:dyDescent="0.3">
      <c r="A42" s="15" t="s">
        <v>20</v>
      </c>
      <c r="B42" s="17">
        <v>4</v>
      </c>
      <c r="C42" s="17">
        <v>201510311</v>
      </c>
      <c r="D42" s="17" t="s">
        <v>118</v>
      </c>
      <c r="E42" s="17">
        <v>127</v>
      </c>
      <c r="F42" s="11">
        <f t="shared" si="0"/>
        <v>63.5</v>
      </c>
      <c r="G42" s="17">
        <v>80</v>
      </c>
      <c r="H42" s="11">
        <f t="shared" si="1"/>
        <v>72.727272727272734</v>
      </c>
      <c r="I42" s="17">
        <v>100</v>
      </c>
      <c r="J42" s="17">
        <v>74</v>
      </c>
      <c r="K42" s="11">
        <f t="shared" si="2"/>
        <v>67.272727272727266</v>
      </c>
      <c r="L42" s="17">
        <v>91</v>
      </c>
      <c r="M42" s="18">
        <v>100</v>
      </c>
      <c r="N42" s="13">
        <f t="shared" si="3"/>
        <v>75.331818181818178</v>
      </c>
      <c r="O42" s="19"/>
    </row>
    <row r="43" spans="1:15" ht="20.100000000000001" customHeight="1" x14ac:dyDescent="0.3">
      <c r="A43" s="15" t="s">
        <v>21</v>
      </c>
      <c r="B43" s="17">
        <v>4</v>
      </c>
      <c r="C43" s="17">
        <v>201510319</v>
      </c>
      <c r="D43" s="17" t="s">
        <v>119</v>
      </c>
      <c r="E43" s="17">
        <v>86</v>
      </c>
      <c r="F43" s="11">
        <f t="shared" si="0"/>
        <v>43</v>
      </c>
      <c r="G43" s="17">
        <v>76</v>
      </c>
      <c r="H43" s="11">
        <f t="shared" si="1"/>
        <v>69.090909090909093</v>
      </c>
      <c r="I43" s="17">
        <v>98.89</v>
      </c>
      <c r="J43" s="17">
        <v>56</v>
      </c>
      <c r="K43" s="11">
        <f t="shared" si="2"/>
        <v>50.909090909090907</v>
      </c>
      <c r="L43" s="17">
        <v>58</v>
      </c>
      <c r="M43" s="18">
        <v>100</v>
      </c>
      <c r="N43" s="13">
        <f t="shared" si="3"/>
        <v>62.861727272727279</v>
      </c>
      <c r="O43" s="19"/>
    </row>
    <row r="44" spans="1:15" ht="20.100000000000001" customHeight="1" x14ac:dyDescent="0.3">
      <c r="A44" s="15" t="s">
        <v>22</v>
      </c>
      <c r="B44" s="17">
        <v>3</v>
      </c>
      <c r="C44" s="17">
        <v>201510342</v>
      </c>
      <c r="D44" s="17" t="s">
        <v>120</v>
      </c>
      <c r="E44" s="17">
        <v>160</v>
      </c>
      <c r="F44" s="11">
        <f t="shared" si="0"/>
        <v>80</v>
      </c>
      <c r="G44" s="17">
        <v>82</v>
      </c>
      <c r="H44" s="11">
        <f t="shared" si="1"/>
        <v>74.545454545454547</v>
      </c>
      <c r="I44" s="17">
        <v>100</v>
      </c>
      <c r="J44" s="17">
        <v>79</v>
      </c>
      <c r="K44" s="11">
        <f t="shared" si="2"/>
        <v>71.818181818181813</v>
      </c>
      <c r="L44" s="17">
        <v>90</v>
      </c>
      <c r="M44" s="18">
        <v>100</v>
      </c>
      <c r="N44" s="13">
        <f t="shared" si="3"/>
        <v>81.27272727272728</v>
      </c>
      <c r="O44" s="19"/>
    </row>
    <row r="45" spans="1:15" ht="20.100000000000001" customHeight="1" x14ac:dyDescent="0.3">
      <c r="A45" s="15" t="s">
        <v>23</v>
      </c>
      <c r="B45" s="17">
        <v>2</v>
      </c>
      <c r="C45" s="17">
        <v>201710460</v>
      </c>
      <c r="D45" s="17" t="s">
        <v>121</v>
      </c>
      <c r="E45" s="17">
        <v>129</v>
      </c>
      <c r="F45" s="11">
        <f t="shared" si="0"/>
        <v>64.5</v>
      </c>
      <c r="G45" s="17">
        <v>70</v>
      </c>
      <c r="H45" s="11">
        <f t="shared" si="1"/>
        <v>63.636363636363633</v>
      </c>
      <c r="I45" s="17">
        <v>97.78</v>
      </c>
      <c r="J45" s="17">
        <v>66</v>
      </c>
      <c r="K45" s="11">
        <f t="shared" si="2"/>
        <v>60</v>
      </c>
      <c r="L45" s="17">
        <v>57</v>
      </c>
      <c r="M45" s="18">
        <v>100</v>
      </c>
      <c r="N45" s="13">
        <f t="shared" si="3"/>
        <v>68.100727272727269</v>
      </c>
      <c r="O45" s="19"/>
    </row>
    <row r="46" spans="1:15" ht="20.100000000000001" customHeight="1" x14ac:dyDescent="0.3">
      <c r="A46" s="15" t="s">
        <v>24</v>
      </c>
      <c r="B46" s="17">
        <v>3</v>
      </c>
      <c r="C46" s="17">
        <v>201710471</v>
      </c>
      <c r="D46" s="17" t="s">
        <v>122</v>
      </c>
      <c r="E46" s="17">
        <v>155</v>
      </c>
      <c r="F46" s="11">
        <f t="shared" si="0"/>
        <v>77.5</v>
      </c>
      <c r="G46" s="17">
        <v>91</v>
      </c>
      <c r="H46" s="11">
        <f t="shared" si="1"/>
        <v>82.727272727272734</v>
      </c>
      <c r="I46" s="17">
        <v>100</v>
      </c>
      <c r="J46" s="17">
        <v>82</v>
      </c>
      <c r="K46" s="11">
        <f t="shared" si="2"/>
        <v>74.545454545454547</v>
      </c>
      <c r="L46" s="17">
        <v>76</v>
      </c>
      <c r="M46" s="18">
        <v>100</v>
      </c>
      <c r="N46" s="13">
        <f t="shared" si="3"/>
        <v>82.259090909090901</v>
      </c>
      <c r="O46" s="19"/>
    </row>
    <row r="47" spans="1:15" ht="20.100000000000001" customHeight="1" x14ac:dyDescent="0.3">
      <c r="A47" s="15" t="s">
        <v>25</v>
      </c>
      <c r="B47" s="17">
        <v>2</v>
      </c>
      <c r="C47" s="17">
        <v>201710226</v>
      </c>
      <c r="D47" s="17" t="s">
        <v>123</v>
      </c>
      <c r="E47" s="17">
        <v>105</v>
      </c>
      <c r="F47" s="11">
        <f t="shared" si="0"/>
        <v>52.5</v>
      </c>
      <c r="G47" s="17">
        <v>57</v>
      </c>
      <c r="H47" s="11">
        <f t="shared" si="1"/>
        <v>51.81818181818182</v>
      </c>
      <c r="I47" s="17">
        <v>97.78</v>
      </c>
      <c r="J47" s="17">
        <v>33</v>
      </c>
      <c r="K47" s="11">
        <f t="shared" si="2"/>
        <v>30</v>
      </c>
      <c r="L47" s="17">
        <v>53</v>
      </c>
      <c r="M47" s="18">
        <v>100</v>
      </c>
      <c r="N47" s="13">
        <f t="shared" si="3"/>
        <v>56.964363636363643</v>
      </c>
      <c r="O47" s="19"/>
    </row>
    <row r="48" spans="1:15" ht="20.100000000000001" customHeight="1" x14ac:dyDescent="0.3">
      <c r="A48" s="15" t="s">
        <v>26</v>
      </c>
      <c r="B48" s="17">
        <v>2</v>
      </c>
      <c r="C48" s="17">
        <v>201810529</v>
      </c>
      <c r="D48" s="17" t="s">
        <v>124</v>
      </c>
      <c r="E48" s="17">
        <v>141</v>
      </c>
      <c r="F48" s="11">
        <f t="shared" si="0"/>
        <v>70.5</v>
      </c>
      <c r="G48" s="17">
        <v>67</v>
      </c>
      <c r="H48" s="11">
        <f t="shared" si="1"/>
        <v>60.909090909090907</v>
      </c>
      <c r="I48" s="17">
        <v>97.78</v>
      </c>
      <c r="J48" s="17">
        <v>78</v>
      </c>
      <c r="K48" s="11">
        <f t="shared" si="2"/>
        <v>70.909090909090907</v>
      </c>
      <c r="L48" s="17">
        <v>54</v>
      </c>
      <c r="M48" s="18">
        <v>80</v>
      </c>
      <c r="N48" s="13">
        <f t="shared" si="3"/>
        <v>68.737090909090909</v>
      </c>
      <c r="O48" s="19"/>
    </row>
    <row r="49" spans="1:15" ht="20.100000000000001" customHeight="1" x14ac:dyDescent="0.3">
      <c r="A49" s="15" t="s">
        <v>27</v>
      </c>
      <c r="B49" s="17">
        <v>1</v>
      </c>
      <c r="C49" s="17">
        <v>201810535</v>
      </c>
      <c r="D49" s="17" t="s">
        <v>125</v>
      </c>
      <c r="E49" s="17">
        <v>114</v>
      </c>
      <c r="F49" s="11">
        <f t="shared" si="0"/>
        <v>57</v>
      </c>
      <c r="G49" s="17">
        <v>92</v>
      </c>
      <c r="H49" s="11">
        <f t="shared" si="1"/>
        <v>83.63636363636364</v>
      </c>
      <c r="I49" s="17">
        <v>95.56</v>
      </c>
      <c r="J49" s="17">
        <v>48</v>
      </c>
      <c r="K49" s="11">
        <f t="shared" si="2"/>
        <v>43.636363636363633</v>
      </c>
      <c r="L49" s="17">
        <v>74</v>
      </c>
      <c r="M49" s="18">
        <v>100</v>
      </c>
      <c r="N49" s="13">
        <f t="shared" si="3"/>
        <v>72.692363636363638</v>
      </c>
      <c r="O49" s="19"/>
    </row>
    <row r="50" spans="1:15" ht="20.100000000000001" customHeight="1" x14ac:dyDescent="0.3">
      <c r="A50" s="15" t="s">
        <v>28</v>
      </c>
      <c r="B50" s="17">
        <v>3</v>
      </c>
      <c r="C50" s="17">
        <v>201510546</v>
      </c>
      <c r="D50" s="17" t="s">
        <v>126</v>
      </c>
      <c r="E50" s="17">
        <v>148</v>
      </c>
      <c r="F50" s="11">
        <f t="shared" si="0"/>
        <v>74</v>
      </c>
      <c r="G50" s="17">
        <v>66</v>
      </c>
      <c r="H50" s="11">
        <f t="shared" si="1"/>
        <v>60</v>
      </c>
      <c r="I50" s="17">
        <v>96.67</v>
      </c>
      <c r="J50" s="17">
        <v>57</v>
      </c>
      <c r="K50" s="11">
        <f t="shared" si="2"/>
        <v>51.81818181818182</v>
      </c>
      <c r="L50" s="17">
        <v>51</v>
      </c>
      <c r="M50" s="18">
        <v>100</v>
      </c>
      <c r="N50" s="13">
        <f t="shared" si="3"/>
        <v>68.148818181818186</v>
      </c>
      <c r="O50" s="19"/>
    </row>
    <row r="51" spans="1:15" ht="20.100000000000001" customHeight="1" x14ac:dyDescent="0.3">
      <c r="A51" s="15" t="s">
        <v>29</v>
      </c>
      <c r="B51" s="17">
        <v>2</v>
      </c>
      <c r="C51" s="17">
        <v>201610266</v>
      </c>
      <c r="D51" s="17" t="s">
        <v>127</v>
      </c>
      <c r="E51" s="17">
        <v>97</v>
      </c>
      <c r="F51" s="11">
        <f t="shared" si="0"/>
        <v>48.5</v>
      </c>
      <c r="G51" s="17">
        <v>101</v>
      </c>
      <c r="H51" s="11">
        <f t="shared" si="1"/>
        <v>91.818181818181813</v>
      </c>
      <c r="I51" s="17">
        <v>98.89</v>
      </c>
      <c r="J51" s="17">
        <v>73</v>
      </c>
      <c r="K51" s="11">
        <f t="shared" si="2"/>
        <v>66.36363636363636</v>
      </c>
      <c r="L51" s="17">
        <v>88</v>
      </c>
      <c r="M51" s="18">
        <v>80</v>
      </c>
      <c r="N51" s="13">
        <f t="shared" si="3"/>
        <v>76.011727272727271</v>
      </c>
      <c r="O51" s="19"/>
    </row>
    <row r="52" spans="1:15" ht="20.100000000000001" customHeight="1" x14ac:dyDescent="0.3">
      <c r="A52" s="15" t="s">
        <v>30</v>
      </c>
      <c r="B52" s="17">
        <v>4</v>
      </c>
      <c r="C52" s="17">
        <v>201610275</v>
      </c>
      <c r="D52" s="17" t="s">
        <v>128</v>
      </c>
      <c r="E52" s="17">
        <v>154</v>
      </c>
      <c r="F52" s="11">
        <f t="shared" si="0"/>
        <v>77</v>
      </c>
      <c r="G52" s="17">
        <v>66</v>
      </c>
      <c r="H52" s="11">
        <f t="shared" si="1"/>
        <v>60</v>
      </c>
      <c r="I52" s="17">
        <v>100</v>
      </c>
      <c r="J52" s="17">
        <v>68</v>
      </c>
      <c r="K52" s="11">
        <f t="shared" si="2"/>
        <v>61.81818181818182</v>
      </c>
      <c r="L52" s="17">
        <v>36</v>
      </c>
      <c r="M52" s="18">
        <v>100</v>
      </c>
      <c r="N52" s="13">
        <f t="shared" si="3"/>
        <v>68.881818181818176</v>
      </c>
      <c r="O52" s="19"/>
    </row>
    <row r="53" spans="1:15" ht="20.100000000000001" customHeight="1" x14ac:dyDescent="0.3">
      <c r="A53" s="15" t="s">
        <v>31</v>
      </c>
      <c r="B53" s="17">
        <v>4</v>
      </c>
      <c r="C53" s="17">
        <v>201610177</v>
      </c>
      <c r="D53" s="17" t="s">
        <v>129</v>
      </c>
      <c r="E53" s="17">
        <v>58</v>
      </c>
      <c r="F53" s="11">
        <f t="shared" si="0"/>
        <v>29</v>
      </c>
      <c r="G53" s="17">
        <v>62</v>
      </c>
      <c r="H53" s="11">
        <f t="shared" si="1"/>
        <v>56.363636363636367</v>
      </c>
      <c r="I53" s="17">
        <v>100</v>
      </c>
      <c r="J53" s="17">
        <v>48</v>
      </c>
      <c r="K53" s="11">
        <f t="shared" si="2"/>
        <v>43.636363636363633</v>
      </c>
      <c r="L53" s="17">
        <v>49</v>
      </c>
      <c r="M53" s="18">
        <v>100</v>
      </c>
      <c r="N53" s="13">
        <f t="shared" si="3"/>
        <v>52.690909090909081</v>
      </c>
      <c r="O53" s="19"/>
    </row>
    <row r="54" spans="1:15" ht="20.100000000000001" customHeight="1" thickBot="1" x14ac:dyDescent="0.35">
      <c r="A54" s="20" t="s">
        <v>32</v>
      </c>
      <c r="B54" s="21">
        <v>2</v>
      </c>
      <c r="C54" s="21">
        <v>201810585</v>
      </c>
      <c r="D54" s="21" t="s">
        <v>130</v>
      </c>
      <c r="E54" s="21">
        <v>75</v>
      </c>
      <c r="F54" s="22">
        <f t="shared" si="0"/>
        <v>37.5</v>
      </c>
      <c r="G54" s="21">
        <v>42</v>
      </c>
      <c r="H54" s="22">
        <f t="shared" si="1"/>
        <v>38.18181818181818</v>
      </c>
      <c r="I54" s="21">
        <v>97.78</v>
      </c>
      <c r="J54" s="21">
        <v>37</v>
      </c>
      <c r="K54" s="22">
        <f t="shared" si="2"/>
        <v>33.636363636363633</v>
      </c>
      <c r="L54" s="21">
        <v>11</v>
      </c>
      <c r="M54" s="23">
        <v>100</v>
      </c>
      <c r="N54" s="24">
        <f t="shared" si="3"/>
        <v>43.855272727272727</v>
      </c>
      <c r="O54" s="25"/>
    </row>
    <row r="55" spans="1:15" ht="20.100000000000001" customHeight="1" thickTop="1" thickBot="1" x14ac:dyDescent="0.35">
      <c r="A55" s="38" t="s">
        <v>161</v>
      </c>
      <c r="B55" s="39"/>
      <c r="C55" s="39"/>
      <c r="D55" s="40"/>
      <c r="E55" s="26">
        <f>SUM(E2:E54)</f>
        <v>6033</v>
      </c>
      <c r="F55" s="26">
        <f t="shared" ref="F55:M55" si="4">SUM(F2:F54)</f>
        <v>3016.5</v>
      </c>
      <c r="G55" s="26">
        <f t="shared" si="4"/>
        <v>3427</v>
      </c>
      <c r="H55" s="26">
        <f t="shared" si="4"/>
        <v>3115.4545454545455</v>
      </c>
      <c r="I55" s="26">
        <f t="shared" si="4"/>
        <v>5043.3600000000006</v>
      </c>
      <c r="J55" s="26">
        <f t="shared" si="4"/>
        <v>2855</v>
      </c>
      <c r="K55" s="26">
        <f t="shared" si="4"/>
        <v>2595.454545454546</v>
      </c>
      <c r="L55" s="26">
        <f t="shared" si="4"/>
        <v>2731</v>
      </c>
      <c r="M55" s="26">
        <f t="shared" si="4"/>
        <v>4690</v>
      </c>
      <c r="N55" s="6">
        <f>SUM(N2:N54)</f>
        <v>3266.8405454545455</v>
      </c>
      <c r="O55" s="33"/>
    </row>
    <row r="56" spans="1:15" ht="20.100000000000001" customHeight="1" thickTop="1" thickBot="1" x14ac:dyDescent="0.35">
      <c r="A56" s="35" t="s">
        <v>159</v>
      </c>
      <c r="B56" s="36"/>
      <c r="C56" s="36"/>
      <c r="D56" s="37"/>
      <c r="E56" s="27">
        <f>AVERAGE(E2:E54)</f>
        <v>113.83018867924528</v>
      </c>
      <c r="F56" s="27">
        <f t="shared" ref="F56:M56" si="5">AVERAGE(F2:F54)</f>
        <v>56.915094339622641</v>
      </c>
      <c r="G56" s="27">
        <f t="shared" si="5"/>
        <v>64.660377358490564</v>
      </c>
      <c r="H56" s="27">
        <f t="shared" si="5"/>
        <v>58.782161234991428</v>
      </c>
      <c r="I56" s="27">
        <f t="shared" si="5"/>
        <v>95.157735849056621</v>
      </c>
      <c r="J56" s="27">
        <f t="shared" si="5"/>
        <v>53.867924528301884</v>
      </c>
      <c r="K56" s="27">
        <f t="shared" si="5"/>
        <v>48.970840480274454</v>
      </c>
      <c r="L56" s="27">
        <f t="shared" si="5"/>
        <v>51.528301886792455</v>
      </c>
      <c r="M56" s="27">
        <f t="shared" si="5"/>
        <v>88.490566037735846</v>
      </c>
      <c r="N56" s="32">
        <f>AVERAGE(N2:N54)</f>
        <v>61.638500857632934</v>
      </c>
      <c r="O56" s="34"/>
    </row>
    <row r="57" spans="1:15" ht="20.100000000000001" customHeight="1" thickTop="1" thickBot="1" x14ac:dyDescent="0.35">
      <c r="A57" s="41" t="s">
        <v>162</v>
      </c>
      <c r="B57" s="42"/>
      <c r="C57" s="42"/>
      <c r="D57" s="43"/>
      <c r="E57" s="26"/>
      <c r="F57" s="4"/>
      <c r="G57" s="4"/>
      <c r="H57" s="4"/>
      <c r="I57" s="4"/>
      <c r="J57" s="4"/>
      <c r="K57" s="4"/>
      <c r="L57" s="4"/>
      <c r="M57" s="28"/>
      <c r="N57" s="33"/>
      <c r="O57" s="34"/>
    </row>
    <row r="58" spans="1:15" ht="20.100000000000001" customHeight="1" thickTop="1" thickBot="1" x14ac:dyDescent="0.35">
      <c r="A58" s="41" t="s">
        <v>163</v>
      </c>
      <c r="B58" s="42"/>
      <c r="C58" s="42"/>
      <c r="D58" s="43"/>
      <c r="E58" s="26"/>
      <c r="F58" s="4"/>
      <c r="G58" s="4"/>
      <c r="H58" s="4"/>
      <c r="I58" s="4"/>
      <c r="J58" s="4"/>
      <c r="K58" s="4"/>
      <c r="L58" s="4"/>
      <c r="M58" s="28"/>
      <c r="N58" s="34"/>
      <c r="O58" s="34"/>
    </row>
    <row r="59" spans="1:15" ht="20.100000000000001" customHeight="1" thickTop="1" thickBot="1" x14ac:dyDescent="0.35">
      <c r="A59" s="44" t="s">
        <v>164</v>
      </c>
      <c r="B59" s="44"/>
      <c r="C59" s="44"/>
      <c r="D59" s="44"/>
      <c r="E59" s="29"/>
      <c r="F59" s="30"/>
      <c r="G59" s="30"/>
      <c r="H59" s="30"/>
      <c r="I59" s="30"/>
      <c r="J59" s="30"/>
      <c r="K59" s="30"/>
      <c r="L59" s="30"/>
      <c r="M59" s="31"/>
      <c r="N59" s="34"/>
      <c r="O59" s="34"/>
    </row>
    <row r="60" spans="1:15" ht="12.75" thickTop="1" x14ac:dyDescent="0.3"/>
  </sheetData>
  <mergeCells count="7">
    <mergeCell ref="O55:O59"/>
    <mergeCell ref="N57:N59"/>
    <mergeCell ref="A56:D56"/>
    <mergeCell ref="A55:D55"/>
    <mergeCell ref="A57:D57"/>
    <mergeCell ref="A58:D58"/>
    <mergeCell ref="A59:D59"/>
  </mergeCells>
  <phoneticPr fontId="18" type="noConversion"/>
  <pageMargins left="0.7" right="0.7" top="0.75" bottom="0.75" header="0.3" footer="0.3"/>
  <pageSetup paperSize="9" orientation="portrait" horizontalDpi="4294967293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>
      <selection activeCell="B6" sqref="B6"/>
    </sheetView>
  </sheetViews>
  <sheetFormatPr defaultRowHeight="16.5" x14ac:dyDescent="0.3"/>
  <sheetData>
    <row r="1" spans="1:2" x14ac:dyDescent="0.3">
      <c r="A1" t="s">
        <v>35</v>
      </c>
      <c r="B1" t="s">
        <v>37</v>
      </c>
    </row>
    <row r="2" spans="1:2" x14ac:dyDescent="0.3">
      <c r="A2">
        <v>101</v>
      </c>
      <c r="B2" t="s">
        <v>36</v>
      </c>
    </row>
    <row r="3" spans="1:2" x14ac:dyDescent="0.3">
      <c r="A3">
        <v>102</v>
      </c>
      <c r="B3" t="s">
        <v>38</v>
      </c>
    </row>
    <row r="4" spans="1:2" x14ac:dyDescent="0.3">
      <c r="A4">
        <v>103</v>
      </c>
      <c r="B4" t="s">
        <v>39</v>
      </c>
    </row>
    <row r="5" spans="1:2" x14ac:dyDescent="0.3">
      <c r="A5">
        <v>104</v>
      </c>
      <c r="B5" t="s">
        <v>40</v>
      </c>
    </row>
    <row r="6" spans="1:2" x14ac:dyDescent="0.3">
      <c r="A6">
        <v>105</v>
      </c>
      <c r="B6" t="s">
        <v>41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2F1B8D-07AE-4928-ABE7-0C6167DF7C4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분반1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내문서</dc:creator>
  <cp:lastModifiedBy>Administrator</cp:lastModifiedBy>
  <cp:lastPrinted>2013-06-30T08:50:02Z</cp:lastPrinted>
  <dcterms:created xsi:type="dcterms:W3CDTF">2013-06-29T13:49:36Z</dcterms:created>
  <dcterms:modified xsi:type="dcterms:W3CDTF">2019-11-15T08:25:49Z</dcterms:modified>
</cp:coreProperties>
</file>