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eKyeong\Downloads\"/>
    </mc:Choice>
  </mc:AlternateContent>
  <xr:revisionPtr revIDLastSave="0" documentId="8_{14BD5AEF-9823-483C-8461-AECBD2EAEE26}" xr6:coauthVersionLast="47" xr6:coauthVersionMax="47" xr10:uidLastSave="{00000000-0000-0000-0000-000000000000}"/>
  <bookViews>
    <workbookView xWindow="-120" yWindow="-120" windowWidth="29040" windowHeight="15840" activeTab="1" xr2:uid="{4FB5648A-C5AC-40DB-945B-A1FEC08C19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H2" i="2"/>
  <c r="G2" i="2"/>
  <c r="F2" i="2"/>
  <c r="E2" i="2"/>
  <c r="D2" i="1"/>
  <c r="F2" i="1" s="1"/>
  <c r="H2" i="1" l="1"/>
  <c r="E2" i="1"/>
  <c r="G2" i="1"/>
</calcChain>
</file>

<file path=xl/sharedStrings.xml><?xml version="1.0" encoding="utf-8"?>
<sst xmlns="http://schemas.openxmlformats.org/spreadsheetml/2006/main" count="24" uniqueCount="18">
  <si>
    <t>회원번호</t>
    <phoneticPr fontId="1" type="noConversion"/>
  </si>
  <si>
    <t>이름</t>
    <phoneticPr fontId="1" type="noConversion"/>
  </si>
  <si>
    <t>주민번호</t>
    <phoneticPr fontId="1" type="noConversion"/>
  </si>
  <si>
    <t>생년월일</t>
    <phoneticPr fontId="1" type="noConversion"/>
  </si>
  <si>
    <t>No-1</t>
    <phoneticPr fontId="1" type="noConversion"/>
  </si>
  <si>
    <t>홍길동</t>
    <phoneticPr fontId="1" type="noConversion"/>
  </si>
  <si>
    <t>월</t>
    <phoneticPr fontId="1" type="noConversion"/>
  </si>
  <si>
    <t>일</t>
    <phoneticPr fontId="1" type="noConversion"/>
  </si>
  <si>
    <t>년도</t>
    <phoneticPr fontId="1" type="noConversion"/>
  </si>
  <si>
    <t>가입년월일</t>
    <phoneticPr fontId="1" type="noConversion"/>
  </si>
  <si>
    <t>년</t>
    <phoneticPr fontId="1" type="noConversion"/>
  </si>
  <si>
    <t>개월</t>
    <phoneticPr fontId="1" type="noConversion"/>
  </si>
  <si>
    <t>일수</t>
    <phoneticPr fontId="1" type="noConversion"/>
  </si>
  <si>
    <t>혜택요일</t>
    <phoneticPr fontId="1" type="noConversion"/>
  </si>
  <si>
    <t>가입요일</t>
    <phoneticPr fontId="1" type="noConversion"/>
  </si>
  <si>
    <t>성별</t>
    <phoneticPr fontId="1" type="noConversion"/>
  </si>
  <si>
    <t>700101-1022222</t>
    <phoneticPr fontId="1" type="noConversion"/>
  </si>
  <si>
    <t>혜택요일명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</si>
</sst>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A350-98A8-4B4A-89C0-AF059F163B0B}">
  <dimension ref="A1:J2"/>
  <sheetViews>
    <sheetView workbookViewId="0">
      <selection activeCell="J2" sqref="J2"/>
    </sheetView>
  </sheetViews>
  <sheetFormatPr defaultRowHeight="16.5" x14ac:dyDescent="0.3"/>
  <cols>
    <col min="3" max="3" width="15.875" bestFit="1" customWidth="1"/>
    <col min="4" max="4" width="11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6</v>
      </c>
      <c r="G1" t="s">
        <v>7</v>
      </c>
      <c r="H1" t="s">
        <v>13</v>
      </c>
      <c r="I1" t="s">
        <v>15</v>
      </c>
      <c r="J1" t="s">
        <v>17</v>
      </c>
    </row>
    <row r="2" spans="1:10" x14ac:dyDescent="0.3">
      <c r="A2" t="s">
        <v>4</v>
      </c>
      <c r="B2" t="s">
        <v>5</v>
      </c>
      <c r="C2" t="s">
        <v>16</v>
      </c>
      <c r="D2" s="1">
        <f>DATE(LEFT(C2,2), MID(C2,3,2), MID(C2,5,2))</f>
        <v>25569</v>
      </c>
      <c r="E2">
        <f>YEAR(D2)</f>
        <v>1970</v>
      </c>
      <c r="F2">
        <f>MONTH(D2)</f>
        <v>1</v>
      </c>
      <c r="G2">
        <f>DAY(D2)</f>
        <v>1</v>
      </c>
      <c r="H2">
        <f>WEEKDAY(D2)</f>
        <v>5</v>
      </c>
      <c r="I2" t="str">
        <f>CHOOSE(VALUE(RIGHT(C2,1)) + 1,"남","여","남","여")</f>
        <v>남</v>
      </c>
      <c r="J2" t="str">
        <f>CHOOSE(WEEKDAY(D2), "일", "월", "화", "수", "목", "금", "토")</f>
        <v>목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D9D3-3823-47D8-820C-0B263B064299}">
  <dimension ref="A1:H2"/>
  <sheetViews>
    <sheetView tabSelected="1" workbookViewId="0">
      <selection activeCell="L9" sqref="L9"/>
    </sheetView>
  </sheetViews>
  <sheetFormatPr defaultRowHeight="16.5" x14ac:dyDescent="0.3"/>
  <cols>
    <col min="2" max="2" width="7.125" bestFit="1" customWidth="1"/>
    <col min="3" max="3" width="15.875" bestFit="1" customWidth="1"/>
    <col min="4" max="4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14</v>
      </c>
    </row>
    <row r="2" spans="1:8" x14ac:dyDescent="0.3">
      <c r="A2" t="s">
        <v>4</v>
      </c>
      <c r="B2" t="s">
        <v>5</v>
      </c>
      <c r="C2" t="s">
        <v>16</v>
      </c>
      <c r="D2" s="1">
        <v>36923</v>
      </c>
      <c r="E2">
        <f ca="1">DATEDIF(D2,TODAY(),"Y")</f>
        <v>23</v>
      </c>
      <c r="F2">
        <f ca="1">DATEDIF(D2,TODAY(),"YM")</f>
        <v>5</v>
      </c>
      <c r="G2">
        <f ca="1">DATEDIF(D2,TODAY(),"MD")</f>
        <v>7</v>
      </c>
      <c r="H2">
        <f>WEEKDAY(D2, 2)</f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2024-07-08T06:00:58Z</dcterms:created>
  <dcterms:modified xsi:type="dcterms:W3CDTF">2024-07-08T06:40:58Z</dcterms:modified>
</cp:coreProperties>
</file>