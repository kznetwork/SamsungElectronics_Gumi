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6690db82aae6d4/Documents/"/>
    </mc:Choice>
  </mc:AlternateContent>
  <xr:revisionPtr revIDLastSave="55" documentId="8_{7FE2D52D-1ED3-492B-97B6-84FC983C1261}" xr6:coauthVersionLast="47" xr6:coauthVersionMax="47" xr10:uidLastSave="{1044234F-4571-460B-A889-C28FB03BF008}"/>
  <bookViews>
    <workbookView xWindow="-110" yWindow="-110" windowWidth="25820" windowHeight="15500" activeTab="2" xr2:uid="{55D6BBFF-E300-436D-8565-F83BA9625CA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D10" i="3"/>
  <c r="D11" i="3"/>
  <c r="D12" i="3"/>
  <c r="D13" i="3"/>
  <c r="D14" i="3"/>
  <c r="D15" i="3"/>
  <c r="D16" i="3"/>
  <c r="D17" i="3"/>
  <c r="D8" i="3"/>
  <c r="H2" i="2"/>
  <c r="G2" i="2"/>
  <c r="E2" i="1"/>
</calcChain>
</file>

<file path=xl/sharedStrings.xml><?xml version="1.0" encoding="utf-8"?>
<sst xmlns="http://schemas.openxmlformats.org/spreadsheetml/2006/main" count="69" uniqueCount="56">
  <si>
    <t>빈도</t>
    <phoneticPr fontId="1" type="noConversion"/>
  </si>
  <si>
    <t>색</t>
    <phoneticPr fontId="1" type="noConversion"/>
  </si>
  <si>
    <t>빨강</t>
    <phoneticPr fontId="1" type="noConversion"/>
  </si>
  <si>
    <t>주황</t>
    <phoneticPr fontId="1" type="noConversion"/>
  </si>
  <si>
    <t>노랑</t>
    <phoneticPr fontId="1" type="noConversion"/>
  </si>
  <si>
    <t>초록</t>
    <phoneticPr fontId="1" type="noConversion"/>
  </si>
  <si>
    <t>파랑</t>
    <phoneticPr fontId="1" type="noConversion"/>
  </si>
  <si>
    <t>부품번호</t>
    <phoneticPr fontId="1" type="noConversion"/>
  </si>
  <si>
    <t>A01</t>
    <phoneticPr fontId="1" type="noConversion"/>
  </si>
  <si>
    <t>A02</t>
  </si>
  <si>
    <t>A03</t>
  </si>
  <si>
    <t>A04</t>
  </si>
  <si>
    <t>A05</t>
  </si>
  <si>
    <t>A06</t>
  </si>
  <si>
    <t>A07</t>
  </si>
  <si>
    <t>A08</t>
  </si>
  <si>
    <t>A09</t>
  </si>
  <si>
    <t>부품명</t>
    <phoneticPr fontId="1" type="noConversion"/>
  </si>
  <si>
    <t>필터1</t>
    <phoneticPr fontId="1" type="noConversion"/>
  </si>
  <si>
    <t>에어갭</t>
    <phoneticPr fontId="1" type="noConversion"/>
  </si>
  <si>
    <t>볼트1</t>
    <phoneticPr fontId="1" type="noConversion"/>
  </si>
  <si>
    <t>볼트2</t>
    <phoneticPr fontId="1" type="noConversion"/>
  </si>
  <si>
    <t>경첩</t>
    <phoneticPr fontId="1" type="noConversion"/>
  </si>
  <si>
    <t>경첩용볼트</t>
    <phoneticPr fontId="1" type="noConversion"/>
  </si>
  <si>
    <t>전멸커버</t>
    <phoneticPr fontId="1" type="noConversion"/>
  </si>
  <si>
    <t>뒷커버</t>
    <phoneticPr fontId="1" type="noConversion"/>
  </si>
  <si>
    <t>LEDset</t>
    <phoneticPr fontId="1" type="noConversion"/>
  </si>
  <si>
    <t>부품가</t>
    <phoneticPr fontId="1" type="noConversion"/>
  </si>
  <si>
    <t>재고상태</t>
    <phoneticPr fontId="1" type="noConversion"/>
  </si>
  <si>
    <t>보유</t>
    <phoneticPr fontId="1" type="noConversion"/>
  </si>
  <si>
    <t>부족</t>
    <phoneticPr fontId="1" type="noConversion"/>
  </si>
  <si>
    <t>소량</t>
    <phoneticPr fontId="1" type="noConversion"/>
  </si>
  <si>
    <t>인센티브표</t>
    <phoneticPr fontId="1" type="noConversion"/>
  </si>
  <si>
    <t>판매금</t>
    <phoneticPr fontId="1" type="noConversion"/>
  </si>
  <si>
    <t>인센티브</t>
    <phoneticPr fontId="1" type="noConversion"/>
  </si>
  <si>
    <t>~49만원</t>
    <phoneticPr fontId="1" type="noConversion"/>
  </si>
  <si>
    <t>50만원~99만원</t>
    <phoneticPr fontId="1" type="noConversion"/>
  </si>
  <si>
    <t>100만원~199만원</t>
    <phoneticPr fontId="1" type="noConversion"/>
  </si>
  <si>
    <t>200만원~299만원</t>
    <phoneticPr fontId="1" type="noConversion"/>
  </si>
  <si>
    <t>300만원~399만원</t>
    <phoneticPr fontId="1" type="noConversion"/>
  </si>
  <si>
    <t>400만원~499만원</t>
    <phoneticPr fontId="1" type="noConversion"/>
  </si>
  <si>
    <t>500만원~599만원</t>
    <phoneticPr fontId="1" type="noConversion"/>
  </si>
  <si>
    <t>판매인</t>
    <phoneticPr fontId="1" type="noConversion"/>
  </si>
  <si>
    <t>총판매금</t>
    <phoneticPr fontId="1" type="noConversion"/>
  </si>
  <si>
    <t>인센티브금액</t>
    <phoneticPr fontId="1" type="noConversion"/>
  </si>
  <si>
    <t>총지급액</t>
    <phoneticPr fontId="1" type="noConversion"/>
  </si>
  <si>
    <t>A1</t>
    <phoneticPr fontId="1" type="noConversion"/>
  </si>
  <si>
    <t>A2</t>
  </si>
  <si>
    <t>A3</t>
  </si>
  <si>
    <t>A4</t>
  </si>
  <si>
    <t>A5</t>
  </si>
  <si>
    <t>A6</t>
  </si>
  <si>
    <t>A7</t>
  </si>
  <si>
    <t>A8</t>
  </si>
  <si>
    <t>A9</t>
  </si>
  <si>
    <t>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</si>
</sst>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159F-1921-4D54-AEFE-389173430FF7}">
  <dimension ref="A1:E6"/>
  <sheetViews>
    <sheetView workbookViewId="0">
      <selection activeCell="E2" sqref="E2"/>
    </sheetView>
  </sheetViews>
  <sheetFormatPr defaultRowHeight="17" x14ac:dyDescent="0.45"/>
  <sheetData>
    <row r="1" spans="1:5" x14ac:dyDescent="0.45">
      <c r="A1" t="s">
        <v>0</v>
      </c>
      <c r="B1" t="s">
        <v>1</v>
      </c>
      <c r="D1" t="s">
        <v>0</v>
      </c>
      <c r="E1" t="s">
        <v>1</v>
      </c>
    </row>
    <row r="2" spans="1:5" x14ac:dyDescent="0.45">
      <c r="A2">
        <v>4.1399999999999997</v>
      </c>
      <c r="B2" t="s">
        <v>2</v>
      </c>
      <c r="D2">
        <v>4.1900000000000004</v>
      </c>
      <c r="E2" t="str">
        <f>LOOKUP(D2,A2:A6,B2:B6)</f>
        <v>주황</v>
      </c>
    </row>
    <row r="3" spans="1:5" x14ac:dyDescent="0.45">
      <c r="A3">
        <v>4.1900000000000004</v>
      </c>
      <c r="B3" t="s">
        <v>3</v>
      </c>
    </row>
    <row r="4" spans="1:5" x14ac:dyDescent="0.45">
      <c r="A4">
        <v>5.17</v>
      </c>
      <c r="B4" t="s">
        <v>4</v>
      </c>
    </row>
    <row r="5" spans="1:5" x14ac:dyDescent="0.45">
      <c r="A5">
        <v>5.77</v>
      </c>
      <c r="B5" t="s">
        <v>5</v>
      </c>
    </row>
    <row r="6" spans="1:5" x14ac:dyDescent="0.45">
      <c r="A6">
        <v>6.39</v>
      </c>
      <c r="B6" t="s">
        <v>6</v>
      </c>
    </row>
  </sheetData>
  <phoneticPr fontId="1" type="noConversion"/>
  <conditionalFormatting sqref="E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D35B5-75D5-4820-B731-30CA2AC69F09}">
  <dimension ref="A1:H10"/>
  <sheetViews>
    <sheetView workbookViewId="0">
      <selection activeCell="H2" sqref="H2"/>
    </sheetView>
  </sheetViews>
  <sheetFormatPr defaultRowHeight="17" x14ac:dyDescent="0.45"/>
  <sheetData>
    <row r="1" spans="1:8" x14ac:dyDescent="0.45">
      <c r="A1" s="2" t="s">
        <v>7</v>
      </c>
      <c r="B1" s="2" t="s">
        <v>17</v>
      </c>
      <c r="C1" s="2" t="s">
        <v>27</v>
      </c>
      <c r="D1" s="2" t="s">
        <v>28</v>
      </c>
      <c r="F1" s="2" t="s">
        <v>7</v>
      </c>
      <c r="G1" s="2" t="s">
        <v>27</v>
      </c>
      <c r="H1" s="2" t="s">
        <v>28</v>
      </c>
    </row>
    <row r="2" spans="1:8" x14ac:dyDescent="0.45">
      <c r="A2" s="2" t="s">
        <v>8</v>
      </c>
      <c r="B2" s="2" t="s">
        <v>18</v>
      </c>
      <c r="C2" s="3">
        <v>3000</v>
      </c>
      <c r="D2" s="2" t="s">
        <v>29</v>
      </c>
      <c r="F2" s="2" t="s">
        <v>14</v>
      </c>
      <c r="G2">
        <f>LOOKUP(F2,A2:C10)</f>
        <v>5500</v>
      </c>
      <c r="H2" t="str">
        <f>LOOKUP(F2,A2:D10)</f>
        <v>보유</v>
      </c>
    </row>
    <row r="3" spans="1:8" x14ac:dyDescent="0.45">
      <c r="A3" s="2" t="s">
        <v>9</v>
      </c>
      <c r="B3" s="2" t="s">
        <v>19</v>
      </c>
      <c r="C3" s="3">
        <v>2300</v>
      </c>
      <c r="D3" s="2" t="s">
        <v>30</v>
      </c>
    </row>
    <row r="4" spans="1:8" x14ac:dyDescent="0.45">
      <c r="A4" s="2" t="s">
        <v>10</v>
      </c>
      <c r="B4" s="2" t="s">
        <v>20</v>
      </c>
      <c r="C4" s="2">
        <v>300</v>
      </c>
      <c r="D4" s="2" t="s">
        <v>29</v>
      </c>
    </row>
    <row r="5" spans="1:8" x14ac:dyDescent="0.45">
      <c r="A5" s="2" t="s">
        <v>11</v>
      </c>
      <c r="B5" s="2" t="s">
        <v>21</v>
      </c>
      <c r="C5" s="2">
        <v>450</v>
      </c>
      <c r="D5" s="2" t="s">
        <v>29</v>
      </c>
    </row>
    <row r="6" spans="1:8" x14ac:dyDescent="0.45">
      <c r="A6" s="2" t="s">
        <v>12</v>
      </c>
      <c r="B6" s="2" t="s">
        <v>22</v>
      </c>
      <c r="C6" s="2">
        <v>900</v>
      </c>
      <c r="D6" s="2" t="s">
        <v>30</v>
      </c>
    </row>
    <row r="7" spans="1:8" x14ac:dyDescent="0.45">
      <c r="A7" s="2" t="s">
        <v>13</v>
      </c>
      <c r="B7" s="2" t="s">
        <v>23</v>
      </c>
      <c r="C7" s="2">
        <v>300</v>
      </c>
      <c r="D7" s="2" t="s">
        <v>31</v>
      </c>
    </row>
    <row r="8" spans="1:8" x14ac:dyDescent="0.45">
      <c r="A8" s="2" t="s">
        <v>14</v>
      </c>
      <c r="B8" s="2" t="s">
        <v>24</v>
      </c>
      <c r="C8" s="3">
        <v>5500</v>
      </c>
      <c r="D8" s="2" t="s">
        <v>29</v>
      </c>
    </row>
    <row r="9" spans="1:8" x14ac:dyDescent="0.45">
      <c r="A9" s="2" t="s">
        <v>15</v>
      </c>
      <c r="B9" s="2" t="s">
        <v>25</v>
      </c>
      <c r="C9" s="3">
        <v>4590</v>
      </c>
      <c r="D9" s="2" t="s">
        <v>30</v>
      </c>
    </row>
    <row r="10" spans="1:8" x14ac:dyDescent="0.45">
      <c r="A10" s="2" t="s">
        <v>16</v>
      </c>
      <c r="B10" s="2" t="s">
        <v>26</v>
      </c>
      <c r="C10" s="3">
        <v>3400</v>
      </c>
      <c r="D10" s="2" t="s">
        <v>29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2CE8A-C254-4476-BE5D-6023348C0C33}">
  <dimension ref="A1:I17"/>
  <sheetViews>
    <sheetView tabSelected="1" workbookViewId="0">
      <selection activeCell="F16" sqref="F16"/>
    </sheetView>
  </sheetViews>
  <sheetFormatPr defaultRowHeight="17" x14ac:dyDescent="0.45"/>
  <cols>
    <col min="2" max="2" width="10.4140625" bestFit="1" customWidth="1"/>
    <col min="3" max="3" width="9" bestFit="1" customWidth="1"/>
    <col min="4" max="4" width="14.08203125" bestFit="1" customWidth="1"/>
    <col min="5" max="9" width="16.1640625" bestFit="1" customWidth="1"/>
  </cols>
  <sheetData>
    <row r="1" spans="1:9" x14ac:dyDescent="0.45">
      <c r="B1" t="s">
        <v>32</v>
      </c>
    </row>
    <row r="2" spans="1:9" x14ac:dyDescent="0.45"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</row>
    <row r="3" spans="1:9" x14ac:dyDescent="0.45">
      <c r="A3">
        <v>1</v>
      </c>
      <c r="B3" t="s">
        <v>33</v>
      </c>
      <c r="C3" s="1">
        <v>10000</v>
      </c>
      <c r="D3" s="1">
        <v>50000</v>
      </c>
      <c r="E3" s="1">
        <v>1000000</v>
      </c>
      <c r="F3" s="1">
        <v>2000000</v>
      </c>
      <c r="G3" s="1">
        <v>3000000</v>
      </c>
      <c r="H3" s="1">
        <v>4000000</v>
      </c>
      <c r="I3" s="1">
        <v>5000000</v>
      </c>
    </row>
    <row r="4" spans="1:9" x14ac:dyDescent="0.45">
      <c r="A4">
        <v>2</v>
      </c>
      <c r="B4" t="s">
        <v>34</v>
      </c>
      <c r="C4" s="4">
        <v>0</v>
      </c>
      <c r="D4" s="4">
        <v>0.03</v>
      </c>
      <c r="E4" s="4">
        <v>0.05</v>
      </c>
      <c r="F4" s="4">
        <v>7.0000000000000007E-2</v>
      </c>
      <c r="G4" s="4">
        <v>0.1</v>
      </c>
      <c r="H4" s="4">
        <v>0.15</v>
      </c>
      <c r="I4" s="4">
        <v>0.2</v>
      </c>
    </row>
    <row r="7" spans="1:9" x14ac:dyDescent="0.45">
      <c r="B7" t="s">
        <v>42</v>
      </c>
      <c r="C7" t="s">
        <v>43</v>
      </c>
      <c r="D7" t="s">
        <v>34</v>
      </c>
      <c r="E7" t="s">
        <v>44</v>
      </c>
      <c r="F7" t="s">
        <v>45</v>
      </c>
    </row>
    <row r="8" spans="1:9" x14ac:dyDescent="0.45">
      <c r="B8" t="s">
        <v>46</v>
      </c>
      <c r="C8" s="1">
        <v>990000</v>
      </c>
      <c r="D8">
        <f>HLOOKUP(C8,$C$3:$I$4,2,TRUE)</f>
        <v>0.03</v>
      </c>
    </row>
    <row r="9" spans="1:9" x14ac:dyDescent="0.45">
      <c r="B9" t="s">
        <v>47</v>
      </c>
      <c r="C9" s="1">
        <v>800000</v>
      </c>
      <c r="D9">
        <f t="shared" ref="D9:D17" si="0">HLOOKUP(C9,$C$3:$I$4,2,TRUE)</f>
        <v>0.03</v>
      </c>
    </row>
    <row r="10" spans="1:9" x14ac:dyDescent="0.45">
      <c r="B10" t="s">
        <v>48</v>
      </c>
      <c r="C10" s="1">
        <v>999999</v>
      </c>
      <c r="D10">
        <f t="shared" si="0"/>
        <v>0.03</v>
      </c>
    </row>
    <row r="11" spans="1:9" x14ac:dyDescent="0.45">
      <c r="B11" t="s">
        <v>49</v>
      </c>
      <c r="C11" s="1">
        <v>2300000</v>
      </c>
      <c r="D11">
        <f t="shared" si="0"/>
        <v>7.0000000000000007E-2</v>
      </c>
    </row>
    <row r="12" spans="1:9" x14ac:dyDescent="0.45">
      <c r="B12" t="s">
        <v>50</v>
      </c>
      <c r="C12" s="1">
        <v>300000</v>
      </c>
      <c r="D12">
        <f t="shared" si="0"/>
        <v>0.03</v>
      </c>
    </row>
    <row r="13" spans="1:9" x14ac:dyDescent="0.45">
      <c r="B13" t="s">
        <v>51</v>
      </c>
      <c r="C13" s="1">
        <v>3100000</v>
      </c>
      <c r="D13">
        <f t="shared" si="0"/>
        <v>0.1</v>
      </c>
    </row>
    <row r="14" spans="1:9" x14ac:dyDescent="0.45">
      <c r="B14" t="s">
        <v>52</v>
      </c>
      <c r="C14" s="1">
        <v>4100000</v>
      </c>
      <c r="D14">
        <f t="shared" si="0"/>
        <v>0.15</v>
      </c>
    </row>
    <row r="15" spans="1:9" x14ac:dyDescent="0.45">
      <c r="B15" t="s">
        <v>53</v>
      </c>
      <c r="C15" s="1">
        <v>3300000</v>
      </c>
      <c r="D15">
        <f t="shared" si="0"/>
        <v>0.1</v>
      </c>
    </row>
    <row r="16" spans="1:9" x14ac:dyDescent="0.45">
      <c r="B16" t="s">
        <v>54</v>
      </c>
      <c r="C16" s="1">
        <v>5000000</v>
      </c>
      <c r="D16">
        <f t="shared" si="0"/>
        <v>0.2</v>
      </c>
    </row>
    <row r="17" spans="2:4" x14ac:dyDescent="0.45">
      <c r="B17" t="s">
        <v>55</v>
      </c>
      <c r="C17" s="1">
        <v>5000000</v>
      </c>
      <c r="D17">
        <f t="shared" si="0"/>
        <v>0.2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대경 김</dc:creator>
  <cp:lastModifiedBy>대경 김</cp:lastModifiedBy>
  <dcterms:created xsi:type="dcterms:W3CDTF">2024-08-23T04:24:46Z</dcterms:created>
  <dcterms:modified xsi:type="dcterms:W3CDTF">2024-08-23T04:48:17Z</dcterms:modified>
</cp:coreProperties>
</file>