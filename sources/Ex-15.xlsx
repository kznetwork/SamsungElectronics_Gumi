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defaultThemeVersion="124226"/>
  <xr:revisionPtr revIDLastSave="0" documentId="13_ncr:1_{3398F426-272E-48DA-8596-7B827F236C5C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평균값 추정" sheetId="2" r:id="rId1"/>
    <sheet name="분산 추정" sheetId="1" r:id="rId2"/>
    <sheet name="비율 추정" sheetId="3" r:id="rId3"/>
    <sheet name="모평균값 검정" sheetId="4" r:id="rId4"/>
    <sheet name="두 집단의 평균 차이 검정" sheetId="5" r:id="rId5"/>
    <sheet name="대응표본 평균 차이 검정" sheetId="6" r:id="rId6"/>
    <sheet name="일원배치 분산 분석" sheetId="7" r:id="rId7"/>
    <sheet name="분석 도구 이용" sheetId="8" r:id="rId8"/>
  </sheets>
  <calcPr calcId="181029"/>
</workbook>
</file>

<file path=xl/calcChain.xml><?xml version="1.0" encoding="utf-8"?>
<calcChain xmlns="http://schemas.openxmlformats.org/spreadsheetml/2006/main">
  <c r="D68" i="7" l="1"/>
  <c r="D67" i="7"/>
  <c r="D66" i="7"/>
  <c r="D65" i="7"/>
  <c r="D64" i="7"/>
  <c r="D63" i="7"/>
  <c r="D62" i="7"/>
  <c r="D61" i="7"/>
  <c r="D41" i="7"/>
  <c r="D21" i="7"/>
  <c r="C62" i="6"/>
  <c r="C63" i="5"/>
  <c r="C62" i="5"/>
  <c r="B66" i="4"/>
  <c r="B65" i="4"/>
  <c r="B63" i="4"/>
  <c r="B62" i="4"/>
  <c r="B8" i="3"/>
  <c r="B7" i="3"/>
  <c r="B6" i="3"/>
  <c r="B5" i="3"/>
  <c r="B4" i="3"/>
  <c r="B3" i="3"/>
  <c r="C64" i="1"/>
  <c r="C63" i="1"/>
  <c r="B64" i="1"/>
  <c r="B63" i="1"/>
  <c r="B62" i="1"/>
  <c r="C63" i="2"/>
  <c r="C62" i="2"/>
  <c r="B64" i="2"/>
  <c r="B63" i="2"/>
  <c r="B62" i="2"/>
</calcChain>
</file>

<file path=xl/sharedStrings.xml><?xml version="1.0" encoding="utf-8"?>
<sst xmlns="http://schemas.openxmlformats.org/spreadsheetml/2006/main" count="58" uniqueCount="50">
  <si>
    <t xml:space="preserve">NO   </t>
  </si>
  <si>
    <r>
      <rPr>
        <sz val="11"/>
        <color theme="1"/>
        <rFont val="돋움"/>
        <family val="3"/>
        <charset val="129"/>
      </rPr>
      <t>수축기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혈압</t>
    </r>
    <phoneticPr fontId="1"/>
  </si>
  <si>
    <t>n</t>
    <phoneticPr fontId="9" type="noConversion"/>
  </si>
  <si>
    <t>m</t>
    <phoneticPr fontId="9" type="noConversion"/>
  </si>
  <si>
    <t>p=m/n</t>
    <phoneticPr fontId="9" type="noConversion"/>
  </si>
  <si>
    <t>1-p</t>
    <phoneticPr fontId="9" type="noConversion"/>
  </si>
  <si>
    <t>Z</t>
    <phoneticPr fontId="9" type="noConversion"/>
  </si>
  <si>
    <t>하한</t>
    <phoneticPr fontId="9" type="noConversion"/>
  </si>
  <si>
    <t>상한</t>
    <phoneticPr fontId="9" type="noConversion"/>
  </si>
  <si>
    <t>평균값</t>
  </si>
  <si>
    <t>표본표준편차</t>
    <phoneticPr fontId="8" type="noConversion"/>
  </si>
  <si>
    <t>모평균값</t>
    <phoneticPr fontId="8" type="noConversion"/>
  </si>
  <si>
    <t>T값</t>
    <phoneticPr fontId="8" type="noConversion"/>
  </si>
  <si>
    <t>t분포값</t>
    <phoneticPr fontId="8" type="noConversion"/>
  </si>
  <si>
    <t>성별</t>
    <rPh sb="1" eb="2">
      <t>ベツ</t>
    </rPh>
    <phoneticPr fontId="11"/>
  </si>
  <si>
    <t>NO</t>
    <phoneticPr fontId="1"/>
  </si>
  <si>
    <r>
      <rPr>
        <sz val="11"/>
        <color theme="1"/>
        <rFont val="돋움"/>
        <family val="3"/>
        <charset val="129"/>
      </rPr>
      <t>수축기</t>
    </r>
    <r>
      <rPr>
        <sz val="11"/>
        <color theme="1"/>
        <rFont val="ＭＳ Ｐゴシック"/>
        <family val="3"/>
        <charset val="128"/>
      </rPr>
      <t xml:space="preserve"> 5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phoneticPr fontId="1"/>
  </si>
  <si>
    <t>NO</t>
    <phoneticPr fontId="9" type="noConversion"/>
  </si>
  <si>
    <r>
      <rPr>
        <sz val="11"/>
        <color theme="1"/>
        <rFont val="돋움"/>
        <family val="3"/>
        <charset val="129"/>
      </rPr>
      <t>연령</t>
    </r>
    <r>
      <rPr>
        <sz val="11"/>
        <color theme="1"/>
        <rFont val="Arial"/>
        <family val="2"/>
      </rPr>
      <t xml:space="preserve">          </t>
    </r>
    <phoneticPr fontId="1"/>
  </si>
  <si>
    <t>총변동</t>
    <phoneticPr fontId="8" type="noConversion"/>
  </si>
  <si>
    <t>군내변동</t>
    <phoneticPr fontId="8" type="noConversion"/>
  </si>
  <si>
    <t>군간변동</t>
    <phoneticPr fontId="8" type="noConversion"/>
  </si>
  <si>
    <t>군내분산</t>
    <phoneticPr fontId="8" type="noConversion"/>
  </si>
  <si>
    <t>군간분산</t>
    <phoneticPr fontId="8" type="noConversion"/>
  </si>
  <si>
    <t>F값</t>
    <phoneticPr fontId="8" type="noConversion"/>
  </si>
  <si>
    <t>검정용 확률</t>
    <phoneticPr fontId="8" type="noConversion"/>
  </si>
  <si>
    <t>30대</t>
    <phoneticPr fontId="9" type="noConversion"/>
  </si>
  <si>
    <t>40대</t>
    <phoneticPr fontId="9" type="noConversion"/>
  </si>
  <si>
    <t>50대</t>
    <phoneticPr fontId="9" type="noConversion"/>
  </si>
  <si>
    <t>분산 분석: 일원 배치법</t>
  </si>
  <si>
    <t>요약표</t>
  </si>
  <si>
    <t>인자의 수준</t>
  </si>
  <si>
    <t>관측수</t>
  </si>
  <si>
    <t>합</t>
  </si>
  <si>
    <t>평균</t>
  </si>
  <si>
    <t>분산</t>
  </si>
  <si>
    <t>30대</t>
  </si>
  <si>
    <t>40대</t>
  </si>
  <si>
    <t>50대</t>
  </si>
  <si>
    <t>분산 분석</t>
  </si>
  <si>
    <t>변동의 요인</t>
  </si>
  <si>
    <t>제곱합</t>
  </si>
  <si>
    <t>자유도</t>
  </si>
  <si>
    <t>제곱 평균</t>
  </si>
  <si>
    <t>F 비</t>
  </si>
  <si>
    <t>P-값</t>
  </si>
  <si>
    <t>F 기각치</t>
  </si>
  <si>
    <t>처리</t>
  </si>
  <si>
    <t>잔차</t>
  </si>
  <si>
    <t>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</si>
</sst>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theme="1"/>
      <name val="돋움"/>
      <family val="3"/>
      <charset val="129"/>
    </font>
    <font>
      <sz val="11"/>
      <color theme="1"/>
      <name val="ＭＳ Ｐゴシック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5" fillId="0" borderId="0" applyNumberFormat="0" applyFont="0" applyFill="0" applyBorder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</cellXfs>
  <cellStyles count="4">
    <cellStyle name="표준" xfId="0" builtinId="0"/>
    <cellStyle name="標準 2" xfId="3" xr:uid="{00000000-0005-0000-0000-000001000000}"/>
    <cellStyle name="標準 3" xfId="1" xr:uid="{00000000-0005-0000-0000-000002000000}"/>
    <cellStyle name="桁区切り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E77-9D16-473D-BCAF-2B2D7B12DD87}">
  <dimension ref="A1:C64"/>
  <sheetViews>
    <sheetView topLeftCell="A46" workbookViewId="0">
      <selection activeCell="G74" sqref="G74"/>
    </sheetView>
  </sheetViews>
  <sheetFormatPr defaultRowHeight="15" customHeight="1"/>
  <cols>
    <col min="1" max="1" width="8.625" customWidth="1"/>
    <col min="2" max="2" width="11.625" customWidth="1"/>
  </cols>
  <sheetData>
    <row r="1" spans="1:2" ht="30" customHeight="1">
      <c r="A1" s="1" t="s">
        <v>0</v>
      </c>
      <c r="B1" s="2" t="s">
        <v>1</v>
      </c>
    </row>
    <row r="2" spans="1:2" ht="15" customHeight="1">
      <c r="A2" s="3">
        <v>1</v>
      </c>
      <c r="B2" s="3">
        <v>137</v>
      </c>
    </row>
    <row r="3" spans="1:2" ht="15" customHeight="1">
      <c r="A3" s="3">
        <v>2</v>
      </c>
      <c r="B3" s="3">
        <v>126</v>
      </c>
    </row>
    <row r="4" spans="1:2" ht="15" customHeight="1">
      <c r="A4" s="3">
        <v>3</v>
      </c>
      <c r="B4" s="3">
        <v>165</v>
      </c>
    </row>
    <row r="5" spans="1:2" ht="15" customHeight="1">
      <c r="A5" s="3">
        <v>4</v>
      </c>
      <c r="B5" s="3">
        <v>102</v>
      </c>
    </row>
    <row r="6" spans="1:2" ht="15" customHeight="1">
      <c r="A6" s="3">
        <v>5</v>
      </c>
      <c r="B6" s="3">
        <v>136</v>
      </c>
    </row>
    <row r="7" spans="1:2" ht="15" customHeight="1">
      <c r="A7" s="3">
        <v>6</v>
      </c>
      <c r="B7" s="3">
        <v>109</v>
      </c>
    </row>
    <row r="8" spans="1:2" ht="15" customHeight="1">
      <c r="A8" s="3">
        <v>7</v>
      </c>
      <c r="B8" s="3">
        <v>131</v>
      </c>
    </row>
    <row r="9" spans="1:2" ht="15" customHeight="1">
      <c r="A9" s="3">
        <v>8</v>
      </c>
      <c r="B9" s="3">
        <v>116</v>
      </c>
    </row>
    <row r="10" spans="1:2" ht="15" customHeight="1">
      <c r="A10" s="3">
        <v>9</v>
      </c>
      <c r="B10" s="3">
        <v>105</v>
      </c>
    </row>
    <row r="11" spans="1:2" ht="15" customHeight="1">
      <c r="A11" s="3">
        <v>10</v>
      </c>
      <c r="B11" s="3">
        <v>122</v>
      </c>
    </row>
    <row r="12" spans="1:2" ht="15" customHeight="1">
      <c r="A12" s="3">
        <v>11</v>
      </c>
      <c r="B12" s="3">
        <v>147</v>
      </c>
    </row>
    <row r="13" spans="1:2" ht="15" customHeight="1">
      <c r="A13" s="3">
        <v>12</v>
      </c>
      <c r="B13" s="3">
        <v>109</v>
      </c>
    </row>
    <row r="14" spans="1:2" ht="15" customHeight="1">
      <c r="A14" s="3">
        <v>13</v>
      </c>
      <c r="B14" s="3">
        <v>166</v>
      </c>
    </row>
    <row r="15" spans="1:2" ht="15" customHeight="1">
      <c r="A15" s="3">
        <v>14</v>
      </c>
      <c r="B15" s="3">
        <v>121</v>
      </c>
    </row>
    <row r="16" spans="1:2" ht="15" customHeight="1">
      <c r="A16" s="3">
        <v>15</v>
      </c>
      <c r="B16" s="3">
        <v>169</v>
      </c>
    </row>
    <row r="17" spans="1:2" ht="15" customHeight="1">
      <c r="A17" s="3">
        <v>16</v>
      </c>
      <c r="B17" s="3">
        <v>125</v>
      </c>
    </row>
    <row r="18" spans="1:2" ht="15" customHeight="1">
      <c r="A18" s="3">
        <v>17</v>
      </c>
      <c r="B18" s="3">
        <v>92</v>
      </c>
    </row>
    <row r="19" spans="1:2" ht="15" customHeight="1">
      <c r="A19" s="3">
        <v>18</v>
      </c>
      <c r="B19" s="3">
        <v>129</v>
      </c>
    </row>
    <row r="20" spans="1:2" ht="15" customHeight="1">
      <c r="A20" s="3">
        <v>19</v>
      </c>
      <c r="B20" s="3">
        <v>111</v>
      </c>
    </row>
    <row r="21" spans="1:2" ht="15" customHeight="1">
      <c r="A21" s="3">
        <v>20</v>
      </c>
      <c r="B21" s="3">
        <v>125</v>
      </c>
    </row>
    <row r="22" spans="1:2" ht="15" customHeight="1">
      <c r="A22" s="3">
        <v>21</v>
      </c>
      <c r="B22" s="3">
        <v>131</v>
      </c>
    </row>
    <row r="23" spans="1:2" ht="15" customHeight="1">
      <c r="A23" s="3">
        <v>22</v>
      </c>
      <c r="B23" s="3">
        <v>119</v>
      </c>
    </row>
    <row r="24" spans="1:2" ht="15" customHeight="1">
      <c r="A24" s="3">
        <v>23</v>
      </c>
      <c r="B24" s="3">
        <v>93</v>
      </c>
    </row>
    <row r="25" spans="1:2" ht="15" customHeight="1">
      <c r="A25" s="3">
        <v>24</v>
      </c>
      <c r="B25" s="3">
        <v>104</v>
      </c>
    </row>
    <row r="26" spans="1:2" ht="15" customHeight="1">
      <c r="A26" s="3">
        <v>25</v>
      </c>
      <c r="B26" s="3">
        <v>159</v>
      </c>
    </row>
    <row r="27" spans="1:2" ht="15" customHeight="1">
      <c r="A27" s="3">
        <v>26</v>
      </c>
      <c r="B27" s="3">
        <v>110</v>
      </c>
    </row>
    <row r="28" spans="1:2" ht="15" customHeight="1">
      <c r="A28" s="3">
        <v>27</v>
      </c>
      <c r="B28" s="3">
        <v>118</v>
      </c>
    </row>
    <row r="29" spans="1:2" ht="15" customHeight="1">
      <c r="A29" s="3">
        <v>28</v>
      </c>
      <c r="B29" s="3">
        <v>130</v>
      </c>
    </row>
    <row r="30" spans="1:2" ht="15" customHeight="1">
      <c r="A30" s="3">
        <v>29</v>
      </c>
      <c r="B30" s="3">
        <v>122</v>
      </c>
    </row>
    <row r="31" spans="1:2" ht="15" customHeight="1">
      <c r="A31" s="3">
        <v>30</v>
      </c>
      <c r="B31" s="3">
        <v>97</v>
      </c>
    </row>
    <row r="32" spans="1:2" ht="15" customHeight="1">
      <c r="A32" s="3">
        <v>31</v>
      </c>
      <c r="B32" s="3">
        <v>116</v>
      </c>
    </row>
    <row r="33" spans="1:2" ht="15" customHeight="1">
      <c r="A33" s="3">
        <v>32</v>
      </c>
      <c r="B33" s="3">
        <v>112</v>
      </c>
    </row>
    <row r="34" spans="1:2" ht="15" customHeight="1">
      <c r="A34" s="3">
        <v>33</v>
      </c>
      <c r="B34" s="3">
        <v>121</v>
      </c>
    </row>
    <row r="35" spans="1:2" ht="15" customHeight="1">
      <c r="A35" s="3">
        <v>34</v>
      </c>
      <c r="B35" s="3">
        <v>127</v>
      </c>
    </row>
    <row r="36" spans="1:2" ht="15" customHeight="1">
      <c r="A36" s="3">
        <v>35</v>
      </c>
      <c r="B36" s="3">
        <v>172</v>
      </c>
    </row>
    <row r="37" spans="1:2" ht="15" customHeight="1">
      <c r="A37" s="3">
        <v>36</v>
      </c>
      <c r="B37" s="3">
        <v>93</v>
      </c>
    </row>
    <row r="38" spans="1:2" ht="15" customHeight="1">
      <c r="A38" s="3">
        <v>37</v>
      </c>
      <c r="B38" s="3">
        <v>111</v>
      </c>
    </row>
    <row r="39" spans="1:2" ht="15" customHeight="1">
      <c r="A39" s="3">
        <v>38</v>
      </c>
      <c r="B39" s="3">
        <v>138</v>
      </c>
    </row>
    <row r="40" spans="1:2" ht="15" customHeight="1">
      <c r="A40" s="3">
        <v>39</v>
      </c>
      <c r="B40" s="3">
        <v>100</v>
      </c>
    </row>
    <row r="41" spans="1:2" ht="15" customHeight="1">
      <c r="A41" s="3">
        <v>40</v>
      </c>
      <c r="B41" s="3">
        <v>122</v>
      </c>
    </row>
    <row r="42" spans="1:2" ht="15" customHeight="1">
      <c r="A42" s="3">
        <v>41</v>
      </c>
      <c r="B42" s="3">
        <v>124</v>
      </c>
    </row>
    <row r="43" spans="1:2" ht="15" customHeight="1">
      <c r="A43" s="3">
        <v>42</v>
      </c>
      <c r="B43" s="3">
        <v>107</v>
      </c>
    </row>
    <row r="44" spans="1:2" ht="15" customHeight="1">
      <c r="A44" s="3">
        <v>43</v>
      </c>
      <c r="B44" s="3">
        <v>112</v>
      </c>
    </row>
    <row r="45" spans="1:2" ht="15" customHeight="1">
      <c r="A45" s="3">
        <v>44</v>
      </c>
      <c r="B45" s="3">
        <v>125</v>
      </c>
    </row>
    <row r="46" spans="1:2" ht="15" customHeight="1">
      <c r="A46" s="3">
        <v>45</v>
      </c>
      <c r="B46" s="3">
        <v>94</v>
      </c>
    </row>
    <row r="47" spans="1:2" ht="15" customHeight="1">
      <c r="A47" s="3">
        <v>46</v>
      </c>
      <c r="B47" s="3">
        <v>137</v>
      </c>
    </row>
    <row r="48" spans="1:2" ht="15" customHeight="1">
      <c r="A48" s="3">
        <v>47</v>
      </c>
      <c r="B48" s="3">
        <v>116</v>
      </c>
    </row>
    <row r="49" spans="1:3" ht="15" customHeight="1">
      <c r="A49" s="3">
        <v>48</v>
      </c>
      <c r="B49" s="3">
        <v>135</v>
      </c>
    </row>
    <row r="50" spans="1:3" ht="15" customHeight="1">
      <c r="A50" s="3">
        <v>49</v>
      </c>
      <c r="B50" s="3">
        <v>103</v>
      </c>
    </row>
    <row r="51" spans="1:3" ht="15" customHeight="1">
      <c r="A51" s="3">
        <v>50</v>
      </c>
      <c r="B51" s="3">
        <v>111</v>
      </c>
    </row>
    <row r="52" spans="1:3" ht="15" customHeight="1">
      <c r="A52" s="3">
        <v>51</v>
      </c>
      <c r="B52" s="3">
        <v>89</v>
      </c>
    </row>
    <row r="53" spans="1:3" ht="15" customHeight="1">
      <c r="A53" s="3">
        <v>52</v>
      </c>
      <c r="B53" s="3">
        <v>127</v>
      </c>
    </row>
    <row r="54" spans="1:3" ht="15" customHeight="1">
      <c r="A54" s="3">
        <v>53</v>
      </c>
      <c r="B54" s="3">
        <v>119</v>
      </c>
    </row>
    <row r="55" spans="1:3" ht="15" customHeight="1">
      <c r="A55" s="3">
        <v>54</v>
      </c>
      <c r="B55" s="3">
        <v>130</v>
      </c>
    </row>
    <row r="56" spans="1:3" ht="15" customHeight="1">
      <c r="A56" s="3">
        <v>55</v>
      </c>
      <c r="B56" s="3">
        <v>107</v>
      </c>
    </row>
    <row r="57" spans="1:3" ht="15" customHeight="1">
      <c r="A57" s="3">
        <v>56</v>
      </c>
      <c r="B57" s="3">
        <v>101</v>
      </c>
    </row>
    <row r="58" spans="1:3" ht="15" customHeight="1">
      <c r="A58" s="3">
        <v>57</v>
      </c>
      <c r="B58" s="3">
        <v>146</v>
      </c>
    </row>
    <row r="59" spans="1:3" ht="15" customHeight="1">
      <c r="A59" s="3">
        <v>58</v>
      </c>
      <c r="B59" s="3">
        <v>113</v>
      </c>
    </row>
    <row r="60" spans="1:3" ht="15" customHeight="1">
      <c r="A60" s="3">
        <v>59</v>
      </c>
      <c r="B60" s="3">
        <v>149</v>
      </c>
    </row>
    <row r="61" spans="1:3" ht="15" customHeight="1">
      <c r="A61" s="3">
        <v>60</v>
      </c>
      <c r="B61" s="3">
        <v>153</v>
      </c>
    </row>
    <row r="62" spans="1:3" ht="15" customHeight="1">
      <c r="B62">
        <f>AVERAGE(B2:B61)</f>
        <v>122.26666666666667</v>
      </c>
      <c r="C62">
        <f>B62-B64*B63/SQRT(59)</f>
        <v>116.30892820806557</v>
      </c>
    </row>
    <row r="63" spans="1:3" ht="15" customHeight="1">
      <c r="B63">
        <f>_xlfn.STDEV.S(B2:B61)</f>
        <v>19.896227959230082</v>
      </c>
      <c r="C63">
        <f>B62+B64*B63/SQRT(59)</f>
        <v>128.22440512526777</v>
      </c>
    </row>
    <row r="64" spans="1:3" ht="15" customHeight="1">
      <c r="B64">
        <f>_xlfn.T.INV.2T(0.025,59)</f>
        <v>2.3000468994409307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opLeftCell="A46" workbookViewId="0">
      <selection activeCell="I64" sqref="I64"/>
    </sheetView>
  </sheetViews>
  <sheetFormatPr defaultRowHeight="15" customHeight="1"/>
  <cols>
    <col min="1" max="1" width="8.625" customWidth="1"/>
    <col min="2" max="2" width="11.625" customWidth="1"/>
  </cols>
  <sheetData>
    <row r="1" spans="1:2" ht="30" customHeight="1">
      <c r="A1" s="1" t="s">
        <v>0</v>
      </c>
      <c r="B1" s="2" t="s">
        <v>1</v>
      </c>
    </row>
    <row r="2" spans="1:2" ht="15" customHeight="1">
      <c r="A2" s="3">
        <v>1</v>
      </c>
      <c r="B2" s="3">
        <v>137</v>
      </c>
    </row>
    <row r="3" spans="1:2" ht="15" customHeight="1">
      <c r="A3" s="3">
        <v>2</v>
      </c>
      <c r="B3" s="3">
        <v>126</v>
      </c>
    </row>
    <row r="4" spans="1:2" ht="15" customHeight="1">
      <c r="A4" s="3">
        <v>3</v>
      </c>
      <c r="B4" s="3">
        <v>165</v>
      </c>
    </row>
    <row r="5" spans="1:2" ht="15" customHeight="1">
      <c r="A5" s="3">
        <v>4</v>
      </c>
      <c r="B5" s="3">
        <v>102</v>
      </c>
    </row>
    <row r="6" spans="1:2" ht="15" customHeight="1">
      <c r="A6" s="3">
        <v>5</v>
      </c>
      <c r="B6" s="3">
        <v>136</v>
      </c>
    </row>
    <row r="7" spans="1:2" ht="15" customHeight="1">
      <c r="A7" s="3">
        <v>6</v>
      </c>
      <c r="B7" s="3">
        <v>109</v>
      </c>
    </row>
    <row r="8" spans="1:2" ht="15" customHeight="1">
      <c r="A8" s="3">
        <v>7</v>
      </c>
      <c r="B8" s="3">
        <v>131</v>
      </c>
    </row>
    <row r="9" spans="1:2" ht="15" customHeight="1">
      <c r="A9" s="3">
        <v>8</v>
      </c>
      <c r="B9" s="3">
        <v>116</v>
      </c>
    </row>
    <row r="10" spans="1:2" ht="15" customHeight="1">
      <c r="A10" s="3">
        <v>9</v>
      </c>
      <c r="B10" s="3">
        <v>105</v>
      </c>
    </row>
    <row r="11" spans="1:2" ht="15" customHeight="1">
      <c r="A11" s="3">
        <v>10</v>
      </c>
      <c r="B11" s="3">
        <v>122</v>
      </c>
    </row>
    <row r="12" spans="1:2" ht="15" customHeight="1">
      <c r="A12" s="3">
        <v>11</v>
      </c>
      <c r="B12" s="3">
        <v>147</v>
      </c>
    </row>
    <row r="13" spans="1:2" ht="15" customHeight="1">
      <c r="A13" s="3">
        <v>12</v>
      </c>
      <c r="B13" s="3">
        <v>109</v>
      </c>
    </row>
    <row r="14" spans="1:2" ht="15" customHeight="1">
      <c r="A14" s="3">
        <v>13</v>
      </c>
      <c r="B14" s="3">
        <v>166</v>
      </c>
    </row>
    <row r="15" spans="1:2" ht="15" customHeight="1">
      <c r="A15" s="3">
        <v>14</v>
      </c>
      <c r="B15" s="3">
        <v>121</v>
      </c>
    </row>
    <row r="16" spans="1:2" ht="15" customHeight="1">
      <c r="A16" s="3">
        <v>15</v>
      </c>
      <c r="B16" s="3">
        <v>169</v>
      </c>
    </row>
    <row r="17" spans="1:2" ht="15" customHeight="1">
      <c r="A17" s="3">
        <v>16</v>
      </c>
      <c r="B17" s="3">
        <v>125</v>
      </c>
    </row>
    <row r="18" spans="1:2" ht="15" customHeight="1">
      <c r="A18" s="3">
        <v>17</v>
      </c>
      <c r="B18" s="3">
        <v>92</v>
      </c>
    </row>
    <row r="19" spans="1:2" ht="15" customHeight="1">
      <c r="A19" s="3">
        <v>18</v>
      </c>
      <c r="B19" s="3">
        <v>129</v>
      </c>
    </row>
    <row r="20" spans="1:2" ht="15" customHeight="1">
      <c r="A20" s="3">
        <v>19</v>
      </c>
      <c r="B20" s="3">
        <v>111</v>
      </c>
    </row>
    <row r="21" spans="1:2" ht="15" customHeight="1">
      <c r="A21" s="3">
        <v>20</v>
      </c>
      <c r="B21" s="3">
        <v>125</v>
      </c>
    </row>
    <row r="22" spans="1:2" ht="15" customHeight="1">
      <c r="A22" s="3">
        <v>21</v>
      </c>
      <c r="B22" s="3">
        <v>131</v>
      </c>
    </row>
    <row r="23" spans="1:2" ht="15" customHeight="1">
      <c r="A23" s="3">
        <v>22</v>
      </c>
      <c r="B23" s="3">
        <v>119</v>
      </c>
    </row>
    <row r="24" spans="1:2" ht="15" customHeight="1">
      <c r="A24" s="3">
        <v>23</v>
      </c>
      <c r="B24" s="3">
        <v>93</v>
      </c>
    </row>
    <row r="25" spans="1:2" ht="15" customHeight="1">
      <c r="A25" s="3">
        <v>24</v>
      </c>
      <c r="B25" s="3">
        <v>104</v>
      </c>
    </row>
    <row r="26" spans="1:2" ht="15" customHeight="1">
      <c r="A26" s="3">
        <v>25</v>
      </c>
      <c r="B26" s="3">
        <v>159</v>
      </c>
    </row>
    <row r="27" spans="1:2" ht="15" customHeight="1">
      <c r="A27" s="3">
        <v>26</v>
      </c>
      <c r="B27" s="3">
        <v>110</v>
      </c>
    </row>
    <row r="28" spans="1:2" ht="15" customHeight="1">
      <c r="A28" s="3">
        <v>27</v>
      </c>
      <c r="B28" s="3">
        <v>118</v>
      </c>
    </row>
    <row r="29" spans="1:2" ht="15" customHeight="1">
      <c r="A29" s="3">
        <v>28</v>
      </c>
      <c r="B29" s="3">
        <v>130</v>
      </c>
    </row>
    <row r="30" spans="1:2" ht="15" customHeight="1">
      <c r="A30" s="3">
        <v>29</v>
      </c>
      <c r="B30" s="3">
        <v>122</v>
      </c>
    </row>
    <row r="31" spans="1:2" ht="15" customHeight="1">
      <c r="A31" s="3">
        <v>30</v>
      </c>
      <c r="B31" s="3">
        <v>97</v>
      </c>
    </row>
    <row r="32" spans="1:2" ht="15" customHeight="1">
      <c r="A32" s="3">
        <v>31</v>
      </c>
      <c r="B32" s="3">
        <v>116</v>
      </c>
    </row>
    <row r="33" spans="1:2" ht="15" customHeight="1">
      <c r="A33" s="3">
        <v>32</v>
      </c>
      <c r="B33" s="3">
        <v>112</v>
      </c>
    </row>
    <row r="34" spans="1:2" ht="15" customHeight="1">
      <c r="A34" s="3">
        <v>33</v>
      </c>
      <c r="B34" s="3">
        <v>121</v>
      </c>
    </row>
    <row r="35" spans="1:2" ht="15" customHeight="1">
      <c r="A35" s="3">
        <v>34</v>
      </c>
      <c r="B35" s="3">
        <v>127</v>
      </c>
    </row>
    <row r="36" spans="1:2" ht="15" customHeight="1">
      <c r="A36" s="3">
        <v>35</v>
      </c>
      <c r="B36" s="3">
        <v>172</v>
      </c>
    </row>
    <row r="37" spans="1:2" ht="15" customHeight="1">
      <c r="A37" s="3">
        <v>36</v>
      </c>
      <c r="B37" s="3">
        <v>93</v>
      </c>
    </row>
    <row r="38" spans="1:2" ht="15" customHeight="1">
      <c r="A38" s="3">
        <v>37</v>
      </c>
      <c r="B38" s="3">
        <v>111</v>
      </c>
    </row>
    <row r="39" spans="1:2" ht="15" customHeight="1">
      <c r="A39" s="3">
        <v>38</v>
      </c>
      <c r="B39" s="3">
        <v>138</v>
      </c>
    </row>
    <row r="40" spans="1:2" ht="15" customHeight="1">
      <c r="A40" s="3">
        <v>39</v>
      </c>
      <c r="B40" s="3">
        <v>100</v>
      </c>
    </row>
    <row r="41" spans="1:2" ht="15" customHeight="1">
      <c r="A41" s="3">
        <v>40</v>
      </c>
      <c r="B41" s="3">
        <v>122</v>
      </c>
    </row>
    <row r="42" spans="1:2" ht="15" customHeight="1">
      <c r="A42" s="3">
        <v>41</v>
      </c>
      <c r="B42" s="3">
        <v>124</v>
      </c>
    </row>
    <row r="43" spans="1:2" ht="15" customHeight="1">
      <c r="A43" s="3">
        <v>42</v>
      </c>
      <c r="B43" s="3">
        <v>107</v>
      </c>
    </row>
    <row r="44" spans="1:2" ht="15" customHeight="1">
      <c r="A44" s="3">
        <v>43</v>
      </c>
      <c r="B44" s="3">
        <v>112</v>
      </c>
    </row>
    <row r="45" spans="1:2" ht="15" customHeight="1">
      <c r="A45" s="3">
        <v>44</v>
      </c>
      <c r="B45" s="3">
        <v>125</v>
      </c>
    </row>
    <row r="46" spans="1:2" ht="15" customHeight="1">
      <c r="A46" s="3">
        <v>45</v>
      </c>
      <c r="B46" s="3">
        <v>94</v>
      </c>
    </row>
    <row r="47" spans="1:2" ht="15" customHeight="1">
      <c r="A47" s="3">
        <v>46</v>
      </c>
      <c r="B47" s="3">
        <v>137</v>
      </c>
    </row>
    <row r="48" spans="1:2" ht="15" customHeight="1">
      <c r="A48" s="3">
        <v>47</v>
      </c>
      <c r="B48" s="3">
        <v>116</v>
      </c>
    </row>
    <row r="49" spans="1:3" ht="15" customHeight="1">
      <c r="A49" s="3">
        <v>48</v>
      </c>
      <c r="B49" s="3">
        <v>135</v>
      </c>
    </row>
    <row r="50" spans="1:3" ht="15" customHeight="1">
      <c r="A50" s="3">
        <v>49</v>
      </c>
      <c r="B50" s="3">
        <v>103</v>
      </c>
    </row>
    <row r="51" spans="1:3" ht="15" customHeight="1">
      <c r="A51" s="3">
        <v>50</v>
      </c>
      <c r="B51" s="3">
        <v>111</v>
      </c>
    </row>
    <row r="52" spans="1:3" ht="15" customHeight="1">
      <c r="A52" s="3">
        <v>51</v>
      </c>
      <c r="B52" s="3">
        <v>89</v>
      </c>
    </row>
    <row r="53" spans="1:3" ht="15" customHeight="1">
      <c r="A53" s="3">
        <v>52</v>
      </c>
      <c r="B53" s="3">
        <v>127</v>
      </c>
    </row>
    <row r="54" spans="1:3" ht="15" customHeight="1">
      <c r="A54" s="3">
        <v>53</v>
      </c>
      <c r="B54" s="3">
        <v>119</v>
      </c>
    </row>
    <row r="55" spans="1:3" ht="15" customHeight="1">
      <c r="A55" s="3">
        <v>54</v>
      </c>
      <c r="B55" s="3">
        <v>130</v>
      </c>
    </row>
    <row r="56" spans="1:3" ht="15" customHeight="1">
      <c r="A56" s="3">
        <v>55</v>
      </c>
      <c r="B56" s="3">
        <v>107</v>
      </c>
    </row>
    <row r="57" spans="1:3" ht="15" customHeight="1">
      <c r="A57" s="3">
        <v>56</v>
      </c>
      <c r="B57" s="3">
        <v>101</v>
      </c>
    </row>
    <row r="58" spans="1:3" ht="15" customHeight="1">
      <c r="A58" s="3">
        <v>57</v>
      </c>
      <c r="B58" s="3">
        <v>146</v>
      </c>
    </row>
    <row r="59" spans="1:3" ht="15" customHeight="1">
      <c r="A59" s="3">
        <v>58</v>
      </c>
      <c r="B59" s="3">
        <v>113</v>
      </c>
    </row>
    <row r="60" spans="1:3" ht="15" customHeight="1">
      <c r="A60" s="3">
        <v>59</v>
      </c>
      <c r="B60" s="3">
        <v>149</v>
      </c>
    </row>
    <row r="61" spans="1:3" ht="15" customHeight="1">
      <c r="A61" s="3">
        <v>60</v>
      </c>
      <c r="B61" s="3">
        <v>153</v>
      </c>
    </row>
    <row r="62" spans="1:3" ht="15" customHeight="1">
      <c r="B62">
        <f>_xlfn.VAR.S(B2:B61)</f>
        <v>395.85988700564877</v>
      </c>
    </row>
    <row r="63" spans="1:3" ht="15" customHeight="1">
      <c r="B63">
        <f>_xlfn.CHISQ.INV.RT(0.025,59)</f>
        <v>82.117405940238299</v>
      </c>
      <c r="C63">
        <f>59*B62/B63</f>
        <v>284.41879119185313</v>
      </c>
    </row>
    <row r="64" spans="1:3" ht="15" customHeight="1">
      <c r="B64">
        <f>_xlfn.CHISQ.INV.RT(0.075,59)</f>
        <v>75.278687586603795</v>
      </c>
      <c r="C64">
        <f>59*B62/B64</f>
        <v>310.25691443496345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723F-D22B-4D4B-8B92-8279B13B643B}">
  <dimension ref="A1:B8"/>
  <sheetViews>
    <sheetView workbookViewId="0">
      <selection activeCell="I14" sqref="I14"/>
    </sheetView>
  </sheetViews>
  <sheetFormatPr defaultRowHeight="16.5"/>
  <sheetData>
    <row r="1" spans="1:2">
      <c r="A1" s="4" t="s">
        <v>2</v>
      </c>
      <c r="B1" s="5">
        <v>60</v>
      </c>
    </row>
    <row r="2" spans="1:2">
      <c r="A2" s="4" t="s">
        <v>3</v>
      </c>
      <c r="B2" s="5">
        <v>23</v>
      </c>
    </row>
    <row r="3" spans="1:2">
      <c r="A3" s="4" t="s">
        <v>4</v>
      </c>
      <c r="B3" s="5">
        <f>B2/B1</f>
        <v>0.38333333333333336</v>
      </c>
    </row>
    <row r="4" spans="1:2">
      <c r="A4" s="4" t="s">
        <v>5</v>
      </c>
      <c r="B4" s="5">
        <f>1-B3</f>
        <v>0.6166666666666667</v>
      </c>
    </row>
    <row r="5" spans="1:2">
      <c r="A5" s="4" t="s">
        <v>6</v>
      </c>
      <c r="B5" s="5">
        <f>_xlfn.NORM.S.INV(0.975)</f>
        <v>1.9599639845400536</v>
      </c>
    </row>
    <row r="6" spans="1:2">
      <c r="A6" s="4"/>
      <c r="B6" s="5">
        <f>B5*SQRT(B1*B3*B4)</f>
        <v>7.3813745969282927</v>
      </c>
    </row>
    <row r="7" spans="1:2">
      <c r="A7" s="4" t="s">
        <v>7</v>
      </c>
      <c r="B7" s="5">
        <f>(B2-B6)/B1</f>
        <v>0.26031042338452848</v>
      </c>
    </row>
    <row r="8" spans="1:2">
      <c r="A8" s="4" t="s">
        <v>8</v>
      </c>
      <c r="B8" s="5">
        <f>(B2+B6)/B1</f>
        <v>0.50635624328213824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66C5-2232-4356-8800-E68FE25B18BE}">
  <dimension ref="A1:B67"/>
  <sheetViews>
    <sheetView topLeftCell="A46" workbookViewId="0">
      <selection activeCell="K64" sqref="K64"/>
    </sheetView>
  </sheetViews>
  <sheetFormatPr defaultRowHeight="16.5"/>
  <cols>
    <col min="1" max="1" width="13" bestFit="1" customWidth="1"/>
    <col min="2" max="2" width="10.625" bestFit="1" customWidth="1"/>
  </cols>
  <sheetData>
    <row r="1" spans="1:2" ht="27">
      <c r="A1" s="1" t="s">
        <v>0</v>
      </c>
      <c r="B1" s="2" t="s">
        <v>1</v>
      </c>
    </row>
    <row r="2" spans="1:2">
      <c r="A2" s="3">
        <v>1</v>
      </c>
      <c r="B2" s="3">
        <v>137</v>
      </c>
    </row>
    <row r="3" spans="1:2">
      <c r="A3" s="3">
        <v>2</v>
      </c>
      <c r="B3" s="3">
        <v>126</v>
      </c>
    </row>
    <row r="4" spans="1:2">
      <c r="A4" s="3">
        <v>3</v>
      </c>
      <c r="B4" s="3">
        <v>165</v>
      </c>
    </row>
    <row r="5" spans="1:2">
      <c r="A5" s="3">
        <v>4</v>
      </c>
      <c r="B5" s="3">
        <v>102</v>
      </c>
    </row>
    <row r="6" spans="1:2">
      <c r="A6" s="3">
        <v>5</v>
      </c>
      <c r="B6" s="3">
        <v>136</v>
      </c>
    </row>
    <row r="7" spans="1:2">
      <c r="A7" s="3">
        <v>6</v>
      </c>
      <c r="B7" s="3">
        <v>109</v>
      </c>
    </row>
    <row r="8" spans="1:2">
      <c r="A8" s="3">
        <v>7</v>
      </c>
      <c r="B8" s="3">
        <v>131</v>
      </c>
    </row>
    <row r="9" spans="1:2">
      <c r="A9" s="3">
        <v>8</v>
      </c>
      <c r="B9" s="3">
        <v>116</v>
      </c>
    </row>
    <row r="10" spans="1:2">
      <c r="A10" s="3">
        <v>9</v>
      </c>
      <c r="B10" s="3">
        <v>105</v>
      </c>
    </row>
    <row r="11" spans="1:2">
      <c r="A11" s="3">
        <v>10</v>
      </c>
      <c r="B11" s="3">
        <v>122</v>
      </c>
    </row>
    <row r="12" spans="1:2">
      <c r="A12" s="3">
        <v>11</v>
      </c>
      <c r="B12" s="3">
        <v>147</v>
      </c>
    </row>
    <row r="13" spans="1:2">
      <c r="A13" s="3">
        <v>12</v>
      </c>
      <c r="B13" s="3">
        <v>109</v>
      </c>
    </row>
    <row r="14" spans="1:2">
      <c r="A14" s="3">
        <v>13</v>
      </c>
      <c r="B14" s="3">
        <v>166</v>
      </c>
    </row>
    <row r="15" spans="1:2">
      <c r="A15" s="3">
        <v>14</v>
      </c>
      <c r="B15" s="3">
        <v>121</v>
      </c>
    </row>
    <row r="16" spans="1:2">
      <c r="A16" s="3">
        <v>15</v>
      </c>
      <c r="B16" s="3">
        <v>169</v>
      </c>
    </row>
    <row r="17" spans="1:2">
      <c r="A17" s="3">
        <v>16</v>
      </c>
      <c r="B17" s="3">
        <v>125</v>
      </c>
    </row>
    <row r="18" spans="1:2">
      <c r="A18" s="3">
        <v>17</v>
      </c>
      <c r="B18" s="3">
        <v>92</v>
      </c>
    </row>
    <row r="19" spans="1:2">
      <c r="A19" s="3">
        <v>18</v>
      </c>
      <c r="B19" s="3">
        <v>129</v>
      </c>
    </row>
    <row r="20" spans="1:2">
      <c r="A20" s="3">
        <v>19</v>
      </c>
      <c r="B20" s="3">
        <v>111</v>
      </c>
    </row>
    <row r="21" spans="1:2">
      <c r="A21" s="3">
        <v>20</v>
      </c>
      <c r="B21" s="3">
        <v>125</v>
      </c>
    </row>
    <row r="22" spans="1:2">
      <c r="A22" s="3">
        <v>21</v>
      </c>
      <c r="B22" s="3">
        <v>131</v>
      </c>
    </row>
    <row r="23" spans="1:2">
      <c r="A23" s="3">
        <v>22</v>
      </c>
      <c r="B23" s="3">
        <v>119</v>
      </c>
    </row>
    <row r="24" spans="1:2">
      <c r="A24" s="3">
        <v>23</v>
      </c>
      <c r="B24" s="3">
        <v>93</v>
      </c>
    </row>
    <row r="25" spans="1:2">
      <c r="A25" s="3">
        <v>24</v>
      </c>
      <c r="B25" s="3">
        <v>104</v>
      </c>
    </row>
    <row r="26" spans="1:2">
      <c r="A26" s="3">
        <v>25</v>
      </c>
      <c r="B26" s="3">
        <v>159</v>
      </c>
    </row>
    <row r="27" spans="1:2">
      <c r="A27" s="3">
        <v>26</v>
      </c>
      <c r="B27" s="3">
        <v>110</v>
      </c>
    </row>
    <row r="28" spans="1:2">
      <c r="A28" s="3">
        <v>27</v>
      </c>
      <c r="B28" s="3">
        <v>118</v>
      </c>
    </row>
    <row r="29" spans="1:2">
      <c r="A29" s="3">
        <v>28</v>
      </c>
      <c r="B29" s="3">
        <v>130</v>
      </c>
    </row>
    <row r="30" spans="1:2">
      <c r="A30" s="3">
        <v>29</v>
      </c>
      <c r="B30" s="3">
        <v>122</v>
      </c>
    </row>
    <row r="31" spans="1:2">
      <c r="A31" s="3">
        <v>30</v>
      </c>
      <c r="B31" s="3">
        <v>97</v>
      </c>
    </row>
    <row r="32" spans="1:2">
      <c r="A32" s="3">
        <v>31</v>
      </c>
      <c r="B32" s="3">
        <v>116</v>
      </c>
    </row>
    <row r="33" spans="1:2">
      <c r="A33" s="3">
        <v>32</v>
      </c>
      <c r="B33" s="3">
        <v>112</v>
      </c>
    </row>
    <row r="34" spans="1:2">
      <c r="A34" s="3">
        <v>33</v>
      </c>
      <c r="B34" s="3">
        <v>121</v>
      </c>
    </row>
    <row r="35" spans="1:2">
      <c r="A35" s="3">
        <v>34</v>
      </c>
      <c r="B35" s="3">
        <v>127</v>
      </c>
    </row>
    <row r="36" spans="1:2">
      <c r="A36" s="3">
        <v>35</v>
      </c>
      <c r="B36" s="3">
        <v>172</v>
      </c>
    </row>
    <row r="37" spans="1:2">
      <c r="A37" s="3">
        <v>36</v>
      </c>
      <c r="B37" s="3">
        <v>93</v>
      </c>
    </row>
    <row r="38" spans="1:2">
      <c r="A38" s="3">
        <v>37</v>
      </c>
      <c r="B38" s="3">
        <v>111</v>
      </c>
    </row>
    <row r="39" spans="1:2">
      <c r="A39" s="3">
        <v>38</v>
      </c>
      <c r="B39" s="3">
        <v>138</v>
      </c>
    </row>
    <row r="40" spans="1:2">
      <c r="A40" s="3">
        <v>39</v>
      </c>
      <c r="B40" s="3">
        <v>100</v>
      </c>
    </row>
    <row r="41" spans="1:2">
      <c r="A41" s="3">
        <v>40</v>
      </c>
      <c r="B41" s="3">
        <v>122</v>
      </c>
    </row>
    <row r="42" spans="1:2">
      <c r="A42" s="3">
        <v>41</v>
      </c>
      <c r="B42" s="3">
        <v>124</v>
      </c>
    </row>
    <row r="43" spans="1:2">
      <c r="A43" s="3">
        <v>42</v>
      </c>
      <c r="B43" s="3">
        <v>107</v>
      </c>
    </row>
    <row r="44" spans="1:2">
      <c r="A44" s="3">
        <v>43</v>
      </c>
      <c r="B44" s="3">
        <v>112</v>
      </c>
    </row>
    <row r="45" spans="1:2">
      <c r="A45" s="3">
        <v>44</v>
      </c>
      <c r="B45" s="3">
        <v>125</v>
      </c>
    </row>
    <row r="46" spans="1:2">
      <c r="A46" s="3">
        <v>45</v>
      </c>
      <c r="B46" s="3">
        <v>94</v>
      </c>
    </row>
    <row r="47" spans="1:2">
      <c r="A47" s="3">
        <v>46</v>
      </c>
      <c r="B47" s="3">
        <v>137</v>
      </c>
    </row>
    <row r="48" spans="1:2">
      <c r="A48" s="3">
        <v>47</v>
      </c>
      <c r="B48" s="3">
        <v>116</v>
      </c>
    </row>
    <row r="49" spans="1:2">
      <c r="A49" s="3">
        <v>48</v>
      </c>
      <c r="B49" s="3">
        <v>135</v>
      </c>
    </row>
    <row r="50" spans="1:2">
      <c r="A50" s="3">
        <v>49</v>
      </c>
      <c r="B50" s="3">
        <v>103</v>
      </c>
    </row>
    <row r="51" spans="1:2">
      <c r="A51" s="3">
        <v>50</v>
      </c>
      <c r="B51" s="3">
        <v>111</v>
      </c>
    </row>
    <row r="52" spans="1:2">
      <c r="A52" s="3">
        <v>51</v>
      </c>
      <c r="B52" s="3">
        <v>89</v>
      </c>
    </row>
    <row r="53" spans="1:2">
      <c r="A53" s="3">
        <v>52</v>
      </c>
      <c r="B53" s="3">
        <v>127</v>
      </c>
    </row>
    <row r="54" spans="1:2">
      <c r="A54" s="3">
        <v>53</v>
      </c>
      <c r="B54" s="3">
        <v>119</v>
      </c>
    </row>
    <row r="55" spans="1:2">
      <c r="A55" s="3">
        <v>54</v>
      </c>
      <c r="B55" s="3">
        <v>130</v>
      </c>
    </row>
    <row r="56" spans="1:2">
      <c r="A56" s="3">
        <v>55</v>
      </c>
      <c r="B56" s="3">
        <v>107</v>
      </c>
    </row>
    <row r="57" spans="1:2">
      <c r="A57" s="3">
        <v>56</v>
      </c>
      <c r="B57" s="3">
        <v>101</v>
      </c>
    </row>
    <row r="58" spans="1:2">
      <c r="A58" s="3">
        <v>57</v>
      </c>
      <c r="B58" s="3">
        <v>146</v>
      </c>
    </row>
    <row r="59" spans="1:2">
      <c r="A59" s="3">
        <v>58</v>
      </c>
      <c r="B59" s="3">
        <v>113</v>
      </c>
    </row>
    <row r="60" spans="1:2">
      <c r="A60" s="3">
        <v>59</v>
      </c>
      <c r="B60" s="3">
        <v>149</v>
      </c>
    </row>
    <row r="61" spans="1:2">
      <c r="A61" s="3">
        <v>60</v>
      </c>
      <c r="B61" s="3">
        <v>153</v>
      </c>
    </row>
    <row r="62" spans="1:2">
      <c r="A62" t="s">
        <v>9</v>
      </c>
      <c r="B62" s="6">
        <f>AVERAGE(B2:B61)</f>
        <v>122.26666666666667</v>
      </c>
    </row>
    <row r="63" spans="1:2">
      <c r="A63" t="s">
        <v>10</v>
      </c>
      <c r="B63" s="6">
        <f>_xlfn.STDEV.S(B2:B61)</f>
        <v>19.896227959230082</v>
      </c>
    </row>
    <row r="64" spans="1:2">
      <c r="A64" s="7" t="s">
        <v>11</v>
      </c>
      <c r="B64" s="6">
        <v>120</v>
      </c>
    </row>
    <row r="65" spans="1:2">
      <c r="A65" s="7" t="s">
        <v>12</v>
      </c>
      <c r="B65" s="6">
        <f>(B62-B64)/(B63/SQRT(60))</f>
        <v>0.88245493260252983</v>
      </c>
    </row>
    <row r="66" spans="1:2">
      <c r="A66" s="7" t="s">
        <v>13</v>
      </c>
      <c r="B66" s="6">
        <f>_xlfn.T.INV.2T(0.025,59)</f>
        <v>2.3000468994409307</v>
      </c>
    </row>
    <row r="67" spans="1:2">
      <c r="A67" s="7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37FA-9202-4592-8949-7481BB9A5DA2}">
  <dimension ref="A1:C63"/>
  <sheetViews>
    <sheetView topLeftCell="A40" workbookViewId="0">
      <selection activeCell="G58" sqref="G58"/>
    </sheetView>
  </sheetViews>
  <sheetFormatPr defaultRowHeight="16.5"/>
  <sheetData>
    <row r="1" spans="1:3" ht="27">
      <c r="A1" s="1" t="s">
        <v>0</v>
      </c>
      <c r="B1" s="8" t="s">
        <v>14</v>
      </c>
      <c r="C1" s="2" t="s">
        <v>1</v>
      </c>
    </row>
    <row r="2" spans="1:3">
      <c r="A2" s="3">
        <v>1</v>
      </c>
      <c r="B2" s="3">
        <v>1</v>
      </c>
      <c r="C2" s="3">
        <v>137</v>
      </c>
    </row>
    <row r="3" spans="1:3">
      <c r="A3" s="3">
        <v>2</v>
      </c>
      <c r="B3" s="3">
        <v>1</v>
      </c>
      <c r="C3" s="3">
        <v>126</v>
      </c>
    </row>
    <row r="4" spans="1:3">
      <c r="A4" s="3">
        <v>4</v>
      </c>
      <c r="B4" s="3">
        <v>1</v>
      </c>
      <c r="C4" s="3">
        <v>102</v>
      </c>
    </row>
    <row r="5" spans="1:3">
      <c r="A5" s="3">
        <v>5</v>
      </c>
      <c r="B5" s="3">
        <v>1</v>
      </c>
      <c r="C5" s="3">
        <v>136</v>
      </c>
    </row>
    <row r="6" spans="1:3">
      <c r="A6" s="3">
        <v>7</v>
      </c>
      <c r="B6" s="3">
        <v>1</v>
      </c>
      <c r="C6" s="3">
        <v>131</v>
      </c>
    </row>
    <row r="7" spans="1:3">
      <c r="A7" s="3">
        <v>8</v>
      </c>
      <c r="B7" s="3">
        <v>1</v>
      </c>
      <c r="C7" s="3">
        <v>116</v>
      </c>
    </row>
    <row r="8" spans="1:3">
      <c r="A8" s="3">
        <v>10</v>
      </c>
      <c r="B8" s="3">
        <v>1</v>
      </c>
      <c r="C8" s="3">
        <v>122</v>
      </c>
    </row>
    <row r="9" spans="1:3">
      <c r="A9" s="3">
        <v>16</v>
      </c>
      <c r="B9" s="3">
        <v>1</v>
      </c>
      <c r="C9" s="3">
        <v>125</v>
      </c>
    </row>
    <row r="10" spans="1:3">
      <c r="A10" s="3">
        <v>18</v>
      </c>
      <c r="B10" s="3">
        <v>1</v>
      </c>
      <c r="C10" s="3">
        <v>129</v>
      </c>
    </row>
    <row r="11" spans="1:3">
      <c r="A11" s="3">
        <v>21</v>
      </c>
      <c r="B11" s="3">
        <v>1</v>
      </c>
      <c r="C11" s="3">
        <v>131</v>
      </c>
    </row>
    <row r="12" spans="1:3">
      <c r="A12" s="3">
        <v>24</v>
      </c>
      <c r="B12" s="3">
        <v>1</v>
      </c>
      <c r="C12" s="3">
        <v>104</v>
      </c>
    </row>
    <row r="13" spans="1:3">
      <c r="A13" s="3">
        <v>25</v>
      </c>
      <c r="B13" s="3">
        <v>1</v>
      </c>
      <c r="C13" s="3">
        <v>159</v>
      </c>
    </row>
    <row r="14" spans="1:3">
      <c r="A14" s="3">
        <v>26</v>
      </c>
      <c r="B14" s="3">
        <v>1</v>
      </c>
      <c r="C14" s="3">
        <v>110</v>
      </c>
    </row>
    <row r="15" spans="1:3">
      <c r="A15" s="3">
        <v>27</v>
      </c>
      <c r="B15" s="3">
        <v>1</v>
      </c>
      <c r="C15" s="3">
        <v>118</v>
      </c>
    </row>
    <row r="16" spans="1:3">
      <c r="A16" s="3">
        <v>28</v>
      </c>
      <c r="B16" s="3">
        <v>1</v>
      </c>
      <c r="C16" s="3">
        <v>130</v>
      </c>
    </row>
    <row r="17" spans="1:3">
      <c r="A17" s="3">
        <v>29</v>
      </c>
      <c r="B17" s="3">
        <v>1</v>
      </c>
      <c r="C17" s="3">
        <v>122</v>
      </c>
    </row>
    <row r="18" spans="1:3">
      <c r="A18" s="3">
        <v>32</v>
      </c>
      <c r="B18" s="3">
        <v>1</v>
      </c>
      <c r="C18" s="3">
        <v>112</v>
      </c>
    </row>
    <row r="19" spans="1:3">
      <c r="A19" s="3">
        <v>33</v>
      </c>
      <c r="B19" s="3">
        <v>1</v>
      </c>
      <c r="C19" s="3">
        <v>121</v>
      </c>
    </row>
    <row r="20" spans="1:3">
      <c r="A20" s="3">
        <v>34</v>
      </c>
      <c r="B20" s="3">
        <v>1</v>
      </c>
      <c r="C20" s="3">
        <v>127</v>
      </c>
    </row>
    <row r="21" spans="1:3">
      <c r="A21" s="3">
        <v>35</v>
      </c>
      <c r="B21" s="3">
        <v>1</v>
      </c>
      <c r="C21" s="3">
        <v>172</v>
      </c>
    </row>
    <row r="22" spans="1:3">
      <c r="A22" s="3">
        <v>36</v>
      </c>
      <c r="B22" s="3">
        <v>1</v>
      </c>
      <c r="C22" s="3">
        <v>93</v>
      </c>
    </row>
    <row r="23" spans="1:3">
      <c r="A23" s="3">
        <v>37</v>
      </c>
      <c r="B23" s="3">
        <v>1</v>
      </c>
      <c r="C23" s="3">
        <v>111</v>
      </c>
    </row>
    <row r="24" spans="1:3">
      <c r="A24" s="3">
        <v>38</v>
      </c>
      <c r="B24" s="3">
        <v>1</v>
      </c>
      <c r="C24" s="3">
        <v>138</v>
      </c>
    </row>
    <row r="25" spans="1:3">
      <c r="A25" s="3">
        <v>39</v>
      </c>
      <c r="B25" s="3">
        <v>1</v>
      </c>
      <c r="C25" s="3">
        <v>100</v>
      </c>
    </row>
    <row r="26" spans="1:3">
      <c r="A26" s="3">
        <v>47</v>
      </c>
      <c r="B26" s="3">
        <v>1</v>
      </c>
      <c r="C26" s="3">
        <v>116</v>
      </c>
    </row>
    <row r="27" spans="1:3">
      <c r="A27" s="3">
        <v>48</v>
      </c>
      <c r="B27" s="3">
        <v>1</v>
      </c>
      <c r="C27" s="3">
        <v>135</v>
      </c>
    </row>
    <row r="28" spans="1:3">
      <c r="A28" s="3">
        <v>50</v>
      </c>
      <c r="B28" s="3">
        <v>1</v>
      </c>
      <c r="C28" s="3">
        <v>111</v>
      </c>
    </row>
    <row r="29" spans="1:3">
      <c r="A29" s="3">
        <v>52</v>
      </c>
      <c r="B29" s="3">
        <v>1</v>
      </c>
      <c r="C29" s="3">
        <v>127</v>
      </c>
    </row>
    <row r="30" spans="1:3">
      <c r="A30" s="3">
        <v>57</v>
      </c>
      <c r="B30" s="3">
        <v>1</v>
      </c>
      <c r="C30" s="3">
        <v>146</v>
      </c>
    </row>
    <row r="31" spans="1:3">
      <c r="A31" s="3">
        <v>59</v>
      </c>
      <c r="B31" s="3">
        <v>1</v>
      </c>
      <c r="C31" s="3">
        <v>149</v>
      </c>
    </row>
    <row r="32" spans="1:3">
      <c r="A32" s="3">
        <v>3</v>
      </c>
      <c r="B32" s="3">
        <v>2</v>
      </c>
      <c r="C32" s="3">
        <v>165</v>
      </c>
    </row>
    <row r="33" spans="1:3">
      <c r="A33" s="3">
        <v>6</v>
      </c>
      <c r="B33" s="3">
        <v>2</v>
      </c>
      <c r="C33" s="3">
        <v>109</v>
      </c>
    </row>
    <row r="34" spans="1:3">
      <c r="A34" s="3">
        <v>9</v>
      </c>
      <c r="B34" s="3">
        <v>2</v>
      </c>
      <c r="C34" s="3">
        <v>105</v>
      </c>
    </row>
    <row r="35" spans="1:3">
      <c r="A35" s="3">
        <v>11</v>
      </c>
      <c r="B35" s="3">
        <v>2</v>
      </c>
      <c r="C35" s="3">
        <v>147</v>
      </c>
    </row>
    <row r="36" spans="1:3">
      <c r="A36" s="3">
        <v>12</v>
      </c>
      <c r="B36" s="3">
        <v>2</v>
      </c>
      <c r="C36" s="3">
        <v>109</v>
      </c>
    </row>
    <row r="37" spans="1:3">
      <c r="A37" s="3">
        <v>13</v>
      </c>
      <c r="B37" s="3">
        <v>2</v>
      </c>
      <c r="C37" s="3">
        <v>166</v>
      </c>
    </row>
    <row r="38" spans="1:3">
      <c r="A38" s="3">
        <v>14</v>
      </c>
      <c r="B38" s="3">
        <v>2</v>
      </c>
      <c r="C38" s="3">
        <v>121</v>
      </c>
    </row>
    <row r="39" spans="1:3">
      <c r="A39" s="3">
        <v>15</v>
      </c>
      <c r="B39" s="3">
        <v>2</v>
      </c>
      <c r="C39" s="3">
        <v>169</v>
      </c>
    </row>
    <row r="40" spans="1:3">
      <c r="A40" s="3">
        <v>17</v>
      </c>
      <c r="B40" s="3">
        <v>2</v>
      </c>
      <c r="C40" s="3">
        <v>92</v>
      </c>
    </row>
    <row r="41" spans="1:3">
      <c r="A41" s="3">
        <v>19</v>
      </c>
      <c r="B41" s="3">
        <v>2</v>
      </c>
      <c r="C41" s="3">
        <v>111</v>
      </c>
    </row>
    <row r="42" spans="1:3">
      <c r="A42" s="3">
        <v>20</v>
      </c>
      <c r="B42" s="3">
        <v>2</v>
      </c>
      <c r="C42" s="3">
        <v>125</v>
      </c>
    </row>
    <row r="43" spans="1:3">
      <c r="A43" s="3">
        <v>22</v>
      </c>
      <c r="B43" s="3">
        <v>2</v>
      </c>
      <c r="C43" s="3">
        <v>119</v>
      </c>
    </row>
    <row r="44" spans="1:3">
      <c r="A44" s="3">
        <v>23</v>
      </c>
      <c r="B44" s="3">
        <v>2</v>
      </c>
      <c r="C44" s="3">
        <v>93</v>
      </c>
    </row>
    <row r="45" spans="1:3">
      <c r="A45" s="3">
        <v>30</v>
      </c>
      <c r="B45" s="3">
        <v>2</v>
      </c>
      <c r="C45" s="3">
        <v>97</v>
      </c>
    </row>
    <row r="46" spans="1:3">
      <c r="A46" s="3">
        <v>31</v>
      </c>
      <c r="B46" s="3">
        <v>2</v>
      </c>
      <c r="C46" s="3">
        <v>116</v>
      </c>
    </row>
    <row r="47" spans="1:3">
      <c r="A47" s="3">
        <v>40</v>
      </c>
      <c r="B47" s="3">
        <v>2</v>
      </c>
      <c r="C47" s="3">
        <v>122</v>
      </c>
    </row>
    <row r="48" spans="1:3">
      <c r="A48" s="3">
        <v>41</v>
      </c>
      <c r="B48" s="3">
        <v>2</v>
      </c>
      <c r="C48" s="3">
        <v>124</v>
      </c>
    </row>
    <row r="49" spans="1:3">
      <c r="A49" s="3">
        <v>42</v>
      </c>
      <c r="B49" s="3">
        <v>2</v>
      </c>
      <c r="C49" s="3">
        <v>107</v>
      </c>
    </row>
    <row r="50" spans="1:3">
      <c r="A50" s="3">
        <v>43</v>
      </c>
      <c r="B50" s="3">
        <v>2</v>
      </c>
      <c r="C50" s="3">
        <v>112</v>
      </c>
    </row>
    <row r="51" spans="1:3">
      <c r="A51" s="3">
        <v>44</v>
      </c>
      <c r="B51" s="3">
        <v>2</v>
      </c>
      <c r="C51" s="3">
        <v>125</v>
      </c>
    </row>
    <row r="52" spans="1:3">
      <c r="A52" s="3">
        <v>45</v>
      </c>
      <c r="B52" s="3">
        <v>2</v>
      </c>
      <c r="C52" s="3">
        <v>94</v>
      </c>
    </row>
    <row r="53" spans="1:3">
      <c r="A53" s="3">
        <v>46</v>
      </c>
      <c r="B53" s="3">
        <v>2</v>
      </c>
      <c r="C53" s="3">
        <v>137</v>
      </c>
    </row>
    <row r="54" spans="1:3">
      <c r="A54" s="3">
        <v>49</v>
      </c>
      <c r="B54" s="3">
        <v>2</v>
      </c>
      <c r="C54" s="3">
        <v>103</v>
      </c>
    </row>
    <row r="55" spans="1:3">
      <c r="A55" s="3">
        <v>51</v>
      </c>
      <c r="B55" s="3">
        <v>2</v>
      </c>
      <c r="C55" s="3">
        <v>89</v>
      </c>
    </row>
    <row r="56" spans="1:3">
      <c r="A56" s="3">
        <v>53</v>
      </c>
      <c r="B56" s="3">
        <v>2</v>
      </c>
      <c r="C56" s="3">
        <v>119</v>
      </c>
    </row>
    <row r="57" spans="1:3">
      <c r="A57" s="3">
        <v>54</v>
      </c>
      <c r="B57" s="3">
        <v>2</v>
      </c>
      <c r="C57" s="3">
        <v>130</v>
      </c>
    </row>
    <row r="58" spans="1:3">
      <c r="A58" s="3">
        <v>55</v>
      </c>
      <c r="B58" s="3">
        <v>2</v>
      </c>
      <c r="C58" s="3">
        <v>107</v>
      </c>
    </row>
    <row r="59" spans="1:3">
      <c r="A59" s="3">
        <v>56</v>
      </c>
      <c r="B59" s="3">
        <v>2</v>
      </c>
      <c r="C59" s="3">
        <v>101</v>
      </c>
    </row>
    <row r="60" spans="1:3">
      <c r="A60" s="3">
        <v>58</v>
      </c>
      <c r="B60" s="3">
        <v>2</v>
      </c>
      <c r="C60" s="3">
        <v>113</v>
      </c>
    </row>
    <row r="61" spans="1:3">
      <c r="A61" s="3">
        <v>60</v>
      </c>
      <c r="B61" s="3">
        <v>2</v>
      </c>
      <c r="C61" s="3">
        <v>153</v>
      </c>
    </row>
    <row r="62" spans="1:3">
      <c r="C62">
        <f>FTEST(C2:C31,C32:C61)</f>
        <v>0.1947549037143155</v>
      </c>
    </row>
    <row r="63" spans="1:3">
      <c r="C63">
        <f>TTEST(C2:C31,C32:C61,2,2)</f>
        <v>0.25690928526758594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549F-2AA6-400E-A540-46DC0DC7AAD1}">
  <dimension ref="A1:C62"/>
  <sheetViews>
    <sheetView workbookViewId="0">
      <selection activeCell="O18" sqref="O18"/>
    </sheetView>
  </sheetViews>
  <sheetFormatPr defaultRowHeight="16.5"/>
  <sheetData>
    <row r="1" spans="1:3" ht="27">
      <c r="A1" s="1" t="s">
        <v>15</v>
      </c>
      <c r="B1" s="2" t="s">
        <v>1</v>
      </c>
      <c r="C1" s="2" t="s">
        <v>16</v>
      </c>
    </row>
    <row r="2" spans="1:3">
      <c r="A2" s="3">
        <v>1</v>
      </c>
      <c r="B2" s="3">
        <v>137</v>
      </c>
      <c r="C2" s="3">
        <v>98</v>
      </c>
    </row>
    <row r="3" spans="1:3">
      <c r="A3" s="3">
        <v>2</v>
      </c>
      <c r="B3" s="3">
        <v>126</v>
      </c>
      <c r="C3" s="3">
        <v>163</v>
      </c>
    </row>
    <row r="4" spans="1:3">
      <c r="A4" s="3">
        <v>3</v>
      </c>
      <c r="B4" s="3">
        <v>165</v>
      </c>
      <c r="C4" s="3">
        <v>68</v>
      </c>
    </row>
    <row r="5" spans="1:3">
      <c r="A5" s="3">
        <v>4</v>
      </c>
      <c r="B5" s="3">
        <v>102</v>
      </c>
      <c r="C5" s="3">
        <v>113</v>
      </c>
    </row>
    <row r="6" spans="1:3">
      <c r="A6" s="3">
        <v>5</v>
      </c>
      <c r="B6" s="3">
        <v>136</v>
      </c>
      <c r="C6" s="3">
        <v>113</v>
      </c>
    </row>
    <row r="7" spans="1:3">
      <c r="A7" s="3">
        <v>6</v>
      </c>
      <c r="B7" s="3">
        <v>109</v>
      </c>
      <c r="C7" s="3">
        <v>121</v>
      </c>
    </row>
    <row r="8" spans="1:3">
      <c r="A8" s="3">
        <v>7</v>
      </c>
      <c r="B8" s="3">
        <v>131</v>
      </c>
      <c r="C8" s="3">
        <v>104</v>
      </c>
    </row>
    <row r="9" spans="1:3">
      <c r="A9" s="3">
        <v>8</v>
      </c>
      <c r="B9" s="3">
        <v>116</v>
      </c>
      <c r="C9" s="3">
        <v>216</v>
      </c>
    </row>
    <row r="10" spans="1:3">
      <c r="A10" s="3">
        <v>9</v>
      </c>
      <c r="B10" s="3">
        <v>105</v>
      </c>
      <c r="C10" s="3">
        <v>145</v>
      </c>
    </row>
    <row r="11" spans="1:3">
      <c r="A11" s="3">
        <v>10</v>
      </c>
      <c r="B11" s="3">
        <v>122</v>
      </c>
      <c r="C11" s="3">
        <v>88</v>
      </c>
    </row>
    <row r="12" spans="1:3">
      <c r="A12" s="3">
        <v>11</v>
      </c>
      <c r="B12" s="3">
        <v>147</v>
      </c>
      <c r="C12" s="3">
        <v>88</v>
      </c>
    </row>
    <row r="13" spans="1:3">
      <c r="A13" s="3">
        <v>12</v>
      </c>
      <c r="B13" s="3">
        <v>109</v>
      </c>
      <c r="C13" s="3">
        <v>198</v>
      </c>
    </row>
    <row r="14" spans="1:3">
      <c r="A14" s="3">
        <v>13</v>
      </c>
      <c r="B14" s="3">
        <v>166</v>
      </c>
      <c r="C14" s="3">
        <v>127</v>
      </c>
    </row>
    <row r="15" spans="1:3">
      <c r="A15" s="3">
        <v>14</v>
      </c>
      <c r="B15" s="3">
        <v>121</v>
      </c>
      <c r="C15" s="3">
        <v>110</v>
      </c>
    </row>
    <row r="16" spans="1:3">
      <c r="A16" s="3">
        <v>15</v>
      </c>
      <c r="B16" s="3">
        <v>169</v>
      </c>
      <c r="C16" s="3">
        <v>110</v>
      </c>
    </row>
    <row r="17" spans="1:3">
      <c r="A17" s="3">
        <v>16</v>
      </c>
      <c r="B17" s="3">
        <v>125</v>
      </c>
      <c r="C17" s="3">
        <v>110</v>
      </c>
    </row>
    <row r="18" spans="1:3">
      <c r="A18" s="3">
        <v>17</v>
      </c>
      <c r="B18" s="3">
        <v>92</v>
      </c>
      <c r="C18" s="3">
        <v>124</v>
      </c>
    </row>
    <row r="19" spans="1:3">
      <c r="A19" s="3">
        <v>18</v>
      </c>
      <c r="B19" s="3">
        <v>129</v>
      </c>
      <c r="C19" s="3">
        <v>122</v>
      </c>
    </row>
    <row r="20" spans="1:3">
      <c r="A20" s="3">
        <v>19</v>
      </c>
      <c r="B20" s="3">
        <v>111</v>
      </c>
      <c r="C20" s="3">
        <v>194</v>
      </c>
    </row>
    <row r="21" spans="1:3">
      <c r="A21" s="3">
        <v>20</v>
      </c>
      <c r="B21" s="3">
        <v>125</v>
      </c>
      <c r="C21" s="3">
        <v>86</v>
      </c>
    </row>
    <row r="22" spans="1:3">
      <c r="A22" s="3">
        <v>21</v>
      </c>
      <c r="B22" s="3">
        <v>131</v>
      </c>
      <c r="C22" s="3">
        <v>145</v>
      </c>
    </row>
    <row r="23" spans="1:3">
      <c r="A23" s="3">
        <v>22</v>
      </c>
      <c r="B23" s="3">
        <v>119</v>
      </c>
      <c r="C23" s="3">
        <v>167</v>
      </c>
    </row>
    <row r="24" spans="1:3">
      <c r="A24" s="3">
        <v>23</v>
      </c>
      <c r="B24" s="3">
        <v>93</v>
      </c>
      <c r="C24" s="3">
        <v>90</v>
      </c>
    </row>
    <row r="25" spans="1:3">
      <c r="A25" s="3">
        <v>24</v>
      </c>
      <c r="B25" s="3">
        <v>104</v>
      </c>
      <c r="C25" s="3">
        <v>150</v>
      </c>
    </row>
    <row r="26" spans="1:3">
      <c r="A26" s="3">
        <v>25</v>
      </c>
      <c r="B26" s="3">
        <v>159</v>
      </c>
      <c r="C26" s="3">
        <v>148</v>
      </c>
    </row>
    <row r="27" spans="1:3">
      <c r="A27" s="3">
        <v>26</v>
      </c>
      <c r="B27" s="3">
        <v>110</v>
      </c>
      <c r="C27" s="3">
        <v>126</v>
      </c>
    </row>
    <row r="28" spans="1:3">
      <c r="A28" s="3">
        <v>27</v>
      </c>
      <c r="B28" s="3">
        <v>118</v>
      </c>
      <c r="C28" s="3">
        <v>125</v>
      </c>
    </row>
    <row r="29" spans="1:3">
      <c r="A29" s="3">
        <v>28</v>
      </c>
      <c r="B29" s="3">
        <v>130</v>
      </c>
      <c r="C29" s="3">
        <v>120</v>
      </c>
    </row>
    <row r="30" spans="1:3">
      <c r="A30" s="3">
        <v>29</v>
      </c>
      <c r="B30" s="3">
        <v>122</v>
      </c>
      <c r="C30" s="3">
        <v>95</v>
      </c>
    </row>
    <row r="31" spans="1:3">
      <c r="A31" s="3">
        <v>30</v>
      </c>
      <c r="B31" s="3">
        <v>97</v>
      </c>
      <c r="C31" s="3">
        <v>106</v>
      </c>
    </row>
    <row r="32" spans="1:3">
      <c r="A32" s="3">
        <v>31</v>
      </c>
      <c r="B32" s="3">
        <v>116</v>
      </c>
      <c r="C32" s="3">
        <v>80</v>
      </c>
    </row>
    <row r="33" spans="1:3">
      <c r="A33" s="3">
        <v>32</v>
      </c>
      <c r="B33" s="3">
        <v>112</v>
      </c>
      <c r="C33" s="3">
        <v>101</v>
      </c>
    </row>
    <row r="34" spans="1:3">
      <c r="A34" s="3">
        <v>33</v>
      </c>
      <c r="B34" s="3">
        <v>121</v>
      </c>
      <c r="C34" s="3">
        <v>139</v>
      </c>
    </row>
    <row r="35" spans="1:3">
      <c r="A35" s="3">
        <v>34</v>
      </c>
      <c r="B35" s="3">
        <v>127</v>
      </c>
      <c r="C35" s="3">
        <v>106</v>
      </c>
    </row>
    <row r="36" spans="1:3">
      <c r="A36" s="3">
        <v>35</v>
      </c>
      <c r="B36" s="3">
        <v>172</v>
      </c>
      <c r="C36" s="3">
        <v>78</v>
      </c>
    </row>
    <row r="37" spans="1:3">
      <c r="A37" s="3">
        <v>36</v>
      </c>
      <c r="B37" s="3">
        <v>93</v>
      </c>
      <c r="C37" s="3">
        <v>154</v>
      </c>
    </row>
    <row r="38" spans="1:3">
      <c r="A38" s="3">
        <v>37</v>
      </c>
      <c r="B38" s="3">
        <v>111</v>
      </c>
      <c r="C38" s="3">
        <v>123</v>
      </c>
    </row>
    <row r="39" spans="1:3">
      <c r="A39" s="3">
        <v>38</v>
      </c>
      <c r="B39" s="3">
        <v>138</v>
      </c>
      <c r="C39" s="3">
        <v>177</v>
      </c>
    </row>
    <row r="40" spans="1:3">
      <c r="A40" s="3">
        <v>39</v>
      </c>
      <c r="B40" s="3">
        <v>100</v>
      </c>
      <c r="C40" s="3">
        <v>112</v>
      </c>
    </row>
    <row r="41" spans="1:3">
      <c r="A41" s="3">
        <v>40</v>
      </c>
      <c r="B41" s="3">
        <v>122</v>
      </c>
      <c r="C41" s="3">
        <v>157</v>
      </c>
    </row>
    <row r="42" spans="1:3">
      <c r="A42" s="3">
        <v>41</v>
      </c>
      <c r="B42" s="3">
        <v>124</v>
      </c>
      <c r="C42" s="3">
        <v>72</v>
      </c>
    </row>
    <row r="43" spans="1:3">
      <c r="A43" s="3">
        <v>42</v>
      </c>
      <c r="B43" s="3">
        <v>107</v>
      </c>
      <c r="C43" s="3">
        <v>132</v>
      </c>
    </row>
    <row r="44" spans="1:3">
      <c r="A44" s="3">
        <v>43</v>
      </c>
      <c r="B44" s="3">
        <v>112</v>
      </c>
      <c r="C44" s="3">
        <v>119</v>
      </c>
    </row>
    <row r="45" spans="1:3">
      <c r="A45" s="3">
        <v>44</v>
      </c>
      <c r="B45" s="3">
        <v>125</v>
      </c>
      <c r="C45" s="3">
        <v>89</v>
      </c>
    </row>
    <row r="46" spans="1:3">
      <c r="A46" s="3">
        <v>45</v>
      </c>
      <c r="B46" s="3">
        <v>94</v>
      </c>
      <c r="C46" s="3">
        <v>153</v>
      </c>
    </row>
    <row r="47" spans="1:3">
      <c r="A47" s="3">
        <v>46</v>
      </c>
      <c r="B47" s="3">
        <v>137</v>
      </c>
      <c r="C47" s="3">
        <v>105</v>
      </c>
    </row>
    <row r="48" spans="1:3">
      <c r="A48" s="3">
        <v>47</v>
      </c>
      <c r="B48" s="3">
        <v>116</v>
      </c>
      <c r="C48" s="3">
        <v>106</v>
      </c>
    </row>
    <row r="49" spans="1:3">
      <c r="A49" s="3">
        <v>48</v>
      </c>
      <c r="B49" s="3">
        <v>135</v>
      </c>
      <c r="C49" s="3">
        <v>106</v>
      </c>
    </row>
    <row r="50" spans="1:3">
      <c r="A50" s="3">
        <v>49</v>
      </c>
      <c r="B50" s="3">
        <v>103</v>
      </c>
      <c r="C50" s="3">
        <v>118</v>
      </c>
    </row>
    <row r="51" spans="1:3">
      <c r="A51" s="3">
        <v>50</v>
      </c>
      <c r="B51" s="3">
        <v>111</v>
      </c>
      <c r="C51" s="3">
        <v>119</v>
      </c>
    </row>
    <row r="52" spans="1:3">
      <c r="A52" s="3">
        <v>51</v>
      </c>
      <c r="B52" s="3">
        <v>89</v>
      </c>
      <c r="C52" s="3">
        <v>128</v>
      </c>
    </row>
    <row r="53" spans="1:3">
      <c r="A53" s="3">
        <v>52</v>
      </c>
      <c r="B53" s="3">
        <v>127</v>
      </c>
      <c r="C53" s="3">
        <v>102</v>
      </c>
    </row>
    <row r="54" spans="1:3">
      <c r="A54" s="3">
        <v>53</v>
      </c>
      <c r="B54" s="3">
        <v>119</v>
      </c>
      <c r="C54" s="3">
        <v>91</v>
      </c>
    </row>
    <row r="55" spans="1:3">
      <c r="A55" s="3">
        <v>54</v>
      </c>
      <c r="B55" s="3">
        <v>130</v>
      </c>
      <c r="C55" s="3">
        <v>80</v>
      </c>
    </row>
    <row r="56" spans="1:3">
      <c r="A56" s="3">
        <v>55</v>
      </c>
      <c r="B56" s="3">
        <v>107</v>
      </c>
      <c r="C56" s="3">
        <v>155</v>
      </c>
    </row>
    <row r="57" spans="1:3">
      <c r="A57" s="3">
        <v>56</v>
      </c>
      <c r="B57" s="3">
        <v>101</v>
      </c>
      <c r="C57" s="3">
        <v>102</v>
      </c>
    </row>
    <row r="58" spans="1:3">
      <c r="A58" s="3">
        <v>57</v>
      </c>
      <c r="B58" s="3">
        <v>146</v>
      </c>
      <c r="C58" s="3">
        <v>119</v>
      </c>
    </row>
    <row r="59" spans="1:3">
      <c r="A59" s="3">
        <v>58</v>
      </c>
      <c r="B59" s="3">
        <v>113</v>
      </c>
      <c r="C59" s="3">
        <v>95</v>
      </c>
    </row>
    <row r="60" spans="1:3">
      <c r="A60" s="3">
        <v>59</v>
      </c>
      <c r="B60" s="3">
        <v>149</v>
      </c>
      <c r="C60" s="3">
        <v>111</v>
      </c>
    </row>
    <row r="61" spans="1:3">
      <c r="A61" s="3">
        <v>60</v>
      </c>
      <c r="B61" s="3">
        <v>153</v>
      </c>
      <c r="C61" s="3">
        <v>103</v>
      </c>
    </row>
    <row r="62" spans="1:3">
      <c r="C62">
        <f>TTEST(B2:B61,C2:C61,2,1)</f>
        <v>0.67492640206012133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D90D-F579-4A0C-B39E-7C5712A3231D}">
  <dimension ref="A1:D68"/>
  <sheetViews>
    <sheetView topLeftCell="A43" workbookViewId="0">
      <selection activeCell="D68" sqref="D68"/>
    </sheetView>
  </sheetViews>
  <sheetFormatPr defaultRowHeight="16.5"/>
  <cols>
    <col min="3" max="3" width="11.625" bestFit="1" customWidth="1"/>
  </cols>
  <sheetData>
    <row r="1" spans="1:3" ht="27">
      <c r="A1" s="1" t="s">
        <v>17</v>
      </c>
      <c r="B1" s="9" t="s">
        <v>18</v>
      </c>
      <c r="C1" s="2" t="s">
        <v>1</v>
      </c>
    </row>
    <row r="2" spans="1:3">
      <c r="A2" s="3">
        <v>2</v>
      </c>
      <c r="B2" s="3">
        <v>30</v>
      </c>
      <c r="C2" s="3">
        <v>126</v>
      </c>
    </row>
    <row r="3" spans="1:3">
      <c r="A3" s="3">
        <v>43</v>
      </c>
      <c r="B3" s="3">
        <v>30</v>
      </c>
      <c r="C3" s="3">
        <v>112</v>
      </c>
    </row>
    <row r="4" spans="1:3">
      <c r="A4" s="3">
        <v>34</v>
      </c>
      <c r="B4" s="3">
        <v>31</v>
      </c>
      <c r="C4" s="3">
        <v>127</v>
      </c>
    </row>
    <row r="5" spans="1:3">
      <c r="A5" s="3">
        <v>35</v>
      </c>
      <c r="B5" s="3">
        <v>33</v>
      </c>
      <c r="C5" s="3">
        <v>172</v>
      </c>
    </row>
    <row r="6" spans="1:3">
      <c r="A6" s="3">
        <v>27</v>
      </c>
      <c r="B6" s="3">
        <v>34</v>
      </c>
      <c r="C6" s="3">
        <v>118</v>
      </c>
    </row>
    <row r="7" spans="1:3">
      <c r="A7" s="3">
        <v>8</v>
      </c>
      <c r="B7" s="3">
        <v>35</v>
      </c>
      <c r="C7" s="3">
        <v>116</v>
      </c>
    </row>
    <row r="8" spans="1:3">
      <c r="A8" s="3">
        <v>12</v>
      </c>
      <c r="B8" s="3">
        <v>35</v>
      </c>
      <c r="C8" s="3">
        <v>109</v>
      </c>
    </row>
    <row r="9" spans="1:3">
      <c r="A9" s="3">
        <v>16</v>
      </c>
      <c r="B9" s="3">
        <v>35</v>
      </c>
      <c r="C9" s="3">
        <v>125</v>
      </c>
    </row>
    <row r="10" spans="1:3">
      <c r="A10" s="3">
        <v>24</v>
      </c>
      <c r="B10" s="3">
        <v>35</v>
      </c>
      <c r="C10" s="3">
        <v>104</v>
      </c>
    </row>
    <row r="11" spans="1:3">
      <c r="A11" s="3">
        <v>46</v>
      </c>
      <c r="B11" s="3">
        <v>35</v>
      </c>
      <c r="C11" s="3">
        <v>137</v>
      </c>
    </row>
    <row r="12" spans="1:3">
      <c r="A12" s="3">
        <v>47</v>
      </c>
      <c r="B12" s="3">
        <v>35</v>
      </c>
      <c r="C12" s="3">
        <v>116</v>
      </c>
    </row>
    <row r="13" spans="1:3">
      <c r="A13" s="3">
        <v>58</v>
      </c>
      <c r="B13" s="3">
        <v>36</v>
      </c>
      <c r="C13" s="3">
        <v>113</v>
      </c>
    </row>
    <row r="14" spans="1:3">
      <c r="A14" s="3">
        <v>26</v>
      </c>
      <c r="B14" s="3">
        <v>37</v>
      </c>
      <c r="C14" s="3">
        <v>110</v>
      </c>
    </row>
    <row r="15" spans="1:3">
      <c r="A15" s="3">
        <v>30</v>
      </c>
      <c r="B15" s="3">
        <v>37</v>
      </c>
      <c r="C15" s="3">
        <v>97</v>
      </c>
    </row>
    <row r="16" spans="1:3">
      <c r="A16" s="3">
        <v>9</v>
      </c>
      <c r="B16" s="3">
        <v>38</v>
      </c>
      <c r="C16" s="3">
        <v>105</v>
      </c>
    </row>
    <row r="17" spans="1:4">
      <c r="A17" s="3">
        <v>42</v>
      </c>
      <c r="B17" s="3">
        <v>38</v>
      </c>
      <c r="C17" s="3">
        <v>107</v>
      </c>
    </row>
    <row r="18" spans="1:4">
      <c r="A18" s="3">
        <v>45</v>
      </c>
      <c r="B18" s="3">
        <v>38</v>
      </c>
      <c r="C18" s="3">
        <v>94</v>
      </c>
    </row>
    <row r="19" spans="1:4">
      <c r="A19" s="3">
        <v>38</v>
      </c>
      <c r="B19" s="3">
        <v>39</v>
      </c>
      <c r="C19" s="3">
        <v>138</v>
      </c>
    </row>
    <row r="20" spans="1:4">
      <c r="A20" s="3">
        <v>49</v>
      </c>
      <c r="B20" s="3">
        <v>39</v>
      </c>
      <c r="C20" s="3">
        <v>103</v>
      </c>
    </row>
    <row r="21" spans="1:4">
      <c r="A21" s="3">
        <v>55</v>
      </c>
      <c r="B21" s="3">
        <v>39</v>
      </c>
      <c r="C21" s="3">
        <v>107</v>
      </c>
      <c r="D21">
        <f>DEVSQ(C2:C21)</f>
        <v>5905.2000000000007</v>
      </c>
    </row>
    <row r="22" spans="1:4">
      <c r="A22" s="3">
        <v>29</v>
      </c>
      <c r="B22" s="3">
        <v>40</v>
      </c>
      <c r="C22" s="3">
        <v>122</v>
      </c>
    </row>
    <row r="23" spans="1:4">
      <c r="A23" s="3">
        <v>59</v>
      </c>
      <c r="B23" s="3">
        <v>40</v>
      </c>
      <c r="C23" s="3">
        <v>149</v>
      </c>
    </row>
    <row r="24" spans="1:4">
      <c r="A24" s="3">
        <v>60</v>
      </c>
      <c r="B24" s="3">
        <v>40</v>
      </c>
      <c r="C24" s="3">
        <v>153</v>
      </c>
    </row>
    <row r="25" spans="1:4">
      <c r="A25" s="3">
        <v>1</v>
      </c>
      <c r="B25" s="3">
        <v>41</v>
      </c>
      <c r="C25" s="3">
        <v>137</v>
      </c>
    </row>
    <row r="26" spans="1:4">
      <c r="A26" s="3">
        <v>17</v>
      </c>
      <c r="B26" s="3">
        <v>42</v>
      </c>
      <c r="C26" s="3">
        <v>92</v>
      </c>
    </row>
    <row r="27" spans="1:4">
      <c r="A27" s="3">
        <v>33</v>
      </c>
      <c r="B27" s="3">
        <v>42</v>
      </c>
      <c r="C27" s="3">
        <v>121</v>
      </c>
    </row>
    <row r="28" spans="1:4">
      <c r="A28" s="3">
        <v>50</v>
      </c>
      <c r="B28" s="3">
        <v>42</v>
      </c>
      <c r="C28" s="3">
        <v>111</v>
      </c>
    </row>
    <row r="29" spans="1:4">
      <c r="A29" s="3">
        <v>19</v>
      </c>
      <c r="B29" s="3">
        <v>43</v>
      </c>
      <c r="C29" s="3">
        <v>111</v>
      </c>
    </row>
    <row r="30" spans="1:4">
      <c r="A30" s="3">
        <v>39</v>
      </c>
      <c r="B30" s="3">
        <v>43</v>
      </c>
      <c r="C30" s="3">
        <v>100</v>
      </c>
    </row>
    <row r="31" spans="1:4">
      <c r="A31" s="3">
        <v>3</v>
      </c>
      <c r="B31" s="3">
        <v>44</v>
      </c>
      <c r="C31" s="3">
        <v>165</v>
      </c>
    </row>
    <row r="32" spans="1:4">
      <c r="A32" s="3">
        <v>56</v>
      </c>
      <c r="B32" s="3">
        <v>45</v>
      </c>
      <c r="C32" s="3">
        <v>101</v>
      </c>
    </row>
    <row r="33" spans="1:4">
      <c r="A33" s="3">
        <v>10</v>
      </c>
      <c r="B33" s="3">
        <v>46</v>
      </c>
      <c r="C33" s="3">
        <v>122</v>
      </c>
    </row>
    <row r="34" spans="1:4">
      <c r="A34" s="3">
        <v>11</v>
      </c>
      <c r="B34" s="3">
        <v>46</v>
      </c>
      <c r="C34" s="3">
        <v>147</v>
      </c>
    </row>
    <row r="35" spans="1:4">
      <c r="A35" s="3">
        <v>31</v>
      </c>
      <c r="B35" s="3">
        <v>46</v>
      </c>
      <c r="C35" s="3">
        <v>116</v>
      </c>
    </row>
    <row r="36" spans="1:4">
      <c r="A36" s="3">
        <v>57</v>
      </c>
      <c r="B36" s="3">
        <v>46</v>
      </c>
      <c r="C36" s="3">
        <v>146</v>
      </c>
    </row>
    <row r="37" spans="1:4">
      <c r="A37" s="3">
        <v>36</v>
      </c>
      <c r="B37" s="3">
        <v>47</v>
      </c>
      <c r="C37" s="3">
        <v>93</v>
      </c>
    </row>
    <row r="38" spans="1:4">
      <c r="A38" s="3">
        <v>41</v>
      </c>
      <c r="B38" s="3">
        <v>47</v>
      </c>
      <c r="C38" s="3">
        <v>124</v>
      </c>
    </row>
    <row r="39" spans="1:4">
      <c r="A39" s="3">
        <v>6</v>
      </c>
      <c r="B39" s="3">
        <v>48</v>
      </c>
      <c r="C39" s="3">
        <v>109</v>
      </c>
    </row>
    <row r="40" spans="1:4">
      <c r="A40" s="3">
        <v>21</v>
      </c>
      <c r="B40" s="3">
        <v>48</v>
      </c>
      <c r="C40" s="3">
        <v>131</v>
      </c>
    </row>
    <row r="41" spans="1:4">
      <c r="A41" s="3">
        <v>51</v>
      </c>
      <c r="B41" s="3">
        <v>48</v>
      </c>
      <c r="C41" s="3">
        <v>89</v>
      </c>
      <c r="D41">
        <f>DEVSQ(C22:C41)</f>
        <v>9252.9500000000007</v>
      </c>
    </row>
    <row r="42" spans="1:4">
      <c r="A42" s="3">
        <v>25</v>
      </c>
      <c r="B42" s="3">
        <v>50</v>
      </c>
      <c r="C42" s="3">
        <v>159</v>
      </c>
    </row>
    <row r="43" spans="1:4">
      <c r="A43" s="3">
        <v>23</v>
      </c>
      <c r="B43" s="3">
        <v>51</v>
      </c>
      <c r="C43" s="3">
        <v>93</v>
      </c>
    </row>
    <row r="44" spans="1:4">
      <c r="A44" s="3">
        <v>15</v>
      </c>
      <c r="B44" s="3">
        <v>52</v>
      </c>
      <c r="C44" s="3">
        <v>169</v>
      </c>
    </row>
    <row r="45" spans="1:4">
      <c r="A45" s="3">
        <v>20</v>
      </c>
      <c r="B45" s="3">
        <v>52</v>
      </c>
      <c r="C45" s="3">
        <v>125</v>
      </c>
    </row>
    <row r="46" spans="1:4">
      <c r="A46" s="3">
        <v>37</v>
      </c>
      <c r="B46" s="3">
        <v>52</v>
      </c>
      <c r="C46" s="3">
        <v>111</v>
      </c>
    </row>
    <row r="47" spans="1:4">
      <c r="A47" s="3">
        <v>53</v>
      </c>
      <c r="B47" s="3">
        <v>52</v>
      </c>
      <c r="C47" s="3">
        <v>119</v>
      </c>
    </row>
    <row r="48" spans="1:4">
      <c r="A48" s="3">
        <v>7</v>
      </c>
      <c r="B48" s="3">
        <v>53</v>
      </c>
      <c r="C48" s="3">
        <v>131</v>
      </c>
    </row>
    <row r="49" spans="1:4">
      <c r="A49" s="3">
        <v>4</v>
      </c>
      <c r="B49" s="3">
        <v>54</v>
      </c>
      <c r="C49" s="3">
        <v>102</v>
      </c>
    </row>
    <row r="50" spans="1:4">
      <c r="A50" s="3">
        <v>13</v>
      </c>
      <c r="B50" s="3">
        <v>54</v>
      </c>
      <c r="C50" s="3">
        <v>166</v>
      </c>
    </row>
    <row r="51" spans="1:4">
      <c r="A51" s="3">
        <v>28</v>
      </c>
      <c r="B51" s="3">
        <v>54</v>
      </c>
      <c r="C51" s="3">
        <v>130</v>
      </c>
    </row>
    <row r="52" spans="1:4">
      <c r="A52" s="3">
        <v>32</v>
      </c>
      <c r="B52" s="3">
        <v>54</v>
      </c>
      <c r="C52" s="3">
        <v>112</v>
      </c>
    </row>
    <row r="53" spans="1:4">
      <c r="A53" s="3">
        <v>44</v>
      </c>
      <c r="B53" s="3">
        <v>54</v>
      </c>
      <c r="C53" s="3">
        <v>125</v>
      </c>
    </row>
    <row r="54" spans="1:4">
      <c r="A54" s="3">
        <v>40</v>
      </c>
      <c r="B54" s="3">
        <v>55</v>
      </c>
      <c r="C54" s="3">
        <v>122</v>
      </c>
    </row>
    <row r="55" spans="1:4">
      <c r="A55" s="3">
        <v>22</v>
      </c>
      <c r="B55" s="3">
        <v>56</v>
      </c>
      <c r="C55" s="3">
        <v>119</v>
      </c>
    </row>
    <row r="56" spans="1:4">
      <c r="A56" s="3">
        <v>5</v>
      </c>
      <c r="B56" s="3">
        <v>57</v>
      </c>
      <c r="C56" s="3">
        <v>136</v>
      </c>
    </row>
    <row r="57" spans="1:4">
      <c r="A57" s="3">
        <v>18</v>
      </c>
      <c r="B57" s="3">
        <v>57</v>
      </c>
      <c r="C57" s="3">
        <v>129</v>
      </c>
    </row>
    <row r="58" spans="1:4">
      <c r="A58" s="3">
        <v>14</v>
      </c>
      <c r="B58" s="3">
        <v>58</v>
      </c>
      <c r="C58" s="3">
        <v>121</v>
      </c>
    </row>
    <row r="59" spans="1:4">
      <c r="A59" s="3">
        <v>48</v>
      </c>
      <c r="B59" s="3">
        <v>59</v>
      </c>
      <c r="C59" s="3">
        <v>135</v>
      </c>
    </row>
    <row r="60" spans="1:4">
      <c r="A60" s="3">
        <v>52</v>
      </c>
      <c r="B60" s="3">
        <v>59</v>
      </c>
      <c r="C60" s="3">
        <v>127</v>
      </c>
    </row>
    <row r="61" spans="1:4">
      <c r="A61" s="3">
        <v>54</v>
      </c>
      <c r="B61" s="3">
        <v>59</v>
      </c>
      <c r="C61" s="3">
        <v>130</v>
      </c>
      <c r="D61">
        <f>DEVSQ(C42:C61)</f>
        <v>6928.95</v>
      </c>
    </row>
    <row r="62" spans="1:4">
      <c r="C62" t="s">
        <v>19</v>
      </c>
      <c r="D62">
        <f>DEVSQ(C2:C61)</f>
        <v>23355.733333333334</v>
      </c>
    </row>
    <row r="63" spans="1:4">
      <c r="C63" t="s">
        <v>20</v>
      </c>
      <c r="D63">
        <f>D21+D41+D61</f>
        <v>22087.100000000002</v>
      </c>
    </row>
    <row r="64" spans="1:4">
      <c r="C64" t="s">
        <v>21</v>
      </c>
      <c r="D64">
        <f>D62-D63</f>
        <v>1268.6333333333314</v>
      </c>
    </row>
    <row r="65" spans="3:4">
      <c r="C65" t="s">
        <v>22</v>
      </c>
      <c r="D65">
        <f>D63/(60-3)</f>
        <v>387.4929824561404</v>
      </c>
    </row>
    <row r="66" spans="3:4">
      <c r="C66" t="s">
        <v>23</v>
      </c>
      <c r="D66">
        <f>D64/(3-1)</f>
        <v>634.3166666666657</v>
      </c>
    </row>
    <row r="67" spans="3:4">
      <c r="C67" t="s">
        <v>24</v>
      </c>
      <c r="D67">
        <f>D66/D65</f>
        <v>1.6369758818495836</v>
      </c>
    </row>
    <row r="68" spans="3:4">
      <c r="C68" t="s">
        <v>25</v>
      </c>
      <c r="D68">
        <f>FDIST(D67,2,56)</f>
        <v>0.20373988147771693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2457-840B-4A5B-B5A2-5B494C846959}">
  <dimension ref="A1:K21"/>
  <sheetViews>
    <sheetView tabSelected="1" workbookViewId="0">
      <selection activeCell="Q14" sqref="Q14"/>
    </sheetView>
  </sheetViews>
  <sheetFormatPr defaultRowHeight="16.5"/>
  <sheetData>
    <row r="1" spans="1:11">
      <c r="A1" s="10" t="s">
        <v>26</v>
      </c>
      <c r="B1" s="10" t="s">
        <v>27</v>
      </c>
      <c r="C1" s="11" t="s">
        <v>28</v>
      </c>
      <c r="E1" t="s">
        <v>29</v>
      </c>
    </row>
    <row r="2" spans="1:11">
      <c r="A2" s="12">
        <v>126</v>
      </c>
      <c r="B2" s="12">
        <v>122</v>
      </c>
      <c r="C2" s="12">
        <v>159</v>
      </c>
    </row>
    <row r="3" spans="1:11" ht="17.25" thickBot="1">
      <c r="A3" s="12">
        <v>112</v>
      </c>
      <c r="B3" s="12">
        <v>149</v>
      </c>
      <c r="C3" s="12">
        <v>93</v>
      </c>
      <c r="E3" t="s">
        <v>30</v>
      </c>
    </row>
    <row r="4" spans="1:11">
      <c r="A4" s="12">
        <v>127</v>
      </c>
      <c r="B4" s="12">
        <v>153</v>
      </c>
      <c r="C4" s="12">
        <v>169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</row>
    <row r="5" spans="1:11">
      <c r="A5" s="12">
        <v>172</v>
      </c>
      <c r="B5" s="12">
        <v>137</v>
      </c>
      <c r="C5" s="12">
        <v>125</v>
      </c>
      <c r="E5" s="13" t="s">
        <v>36</v>
      </c>
      <c r="F5" s="13">
        <v>20</v>
      </c>
      <c r="G5" s="13">
        <v>2336</v>
      </c>
      <c r="H5" s="13">
        <v>116.8</v>
      </c>
      <c r="I5" s="13">
        <v>310.80000000000064</v>
      </c>
    </row>
    <row r="6" spans="1:11">
      <c r="A6" s="12">
        <v>118</v>
      </c>
      <c r="B6" s="12">
        <v>92</v>
      </c>
      <c r="C6" s="12">
        <v>111</v>
      </c>
      <c r="E6" s="13" t="s">
        <v>37</v>
      </c>
      <c r="F6" s="13">
        <v>20</v>
      </c>
      <c r="G6" s="13">
        <v>2439</v>
      </c>
      <c r="H6" s="13">
        <v>121.95</v>
      </c>
      <c r="I6" s="13">
        <v>486.99736842105324</v>
      </c>
    </row>
    <row r="7" spans="1:11" ht="17.25" thickBot="1">
      <c r="A7" s="12">
        <v>116</v>
      </c>
      <c r="B7" s="12">
        <v>121</v>
      </c>
      <c r="C7" s="12">
        <v>119</v>
      </c>
      <c r="E7" s="14" t="s">
        <v>38</v>
      </c>
      <c r="F7" s="14">
        <v>20</v>
      </c>
      <c r="G7" s="14">
        <v>2561</v>
      </c>
      <c r="H7" s="14">
        <v>128.05000000000001</v>
      </c>
      <c r="I7" s="14">
        <v>364.68157894736902</v>
      </c>
    </row>
    <row r="8" spans="1:11">
      <c r="A8" s="12">
        <v>109</v>
      </c>
      <c r="B8" s="12">
        <v>111</v>
      </c>
      <c r="C8" s="12">
        <v>131</v>
      </c>
    </row>
    <row r="9" spans="1:11">
      <c r="A9" s="12">
        <v>125</v>
      </c>
      <c r="B9" s="12">
        <v>111</v>
      </c>
      <c r="C9" s="12">
        <v>102</v>
      </c>
    </row>
    <row r="10" spans="1:11" ht="17.25" thickBot="1">
      <c r="A10" s="12">
        <v>104</v>
      </c>
      <c r="B10" s="12">
        <v>100</v>
      </c>
      <c r="C10" s="12">
        <v>166</v>
      </c>
      <c r="E10" t="s">
        <v>39</v>
      </c>
    </row>
    <row r="11" spans="1:11">
      <c r="A11" s="12">
        <v>137</v>
      </c>
      <c r="B11" s="12">
        <v>165</v>
      </c>
      <c r="C11" s="12">
        <v>130</v>
      </c>
      <c r="E11" s="15" t="s">
        <v>40</v>
      </c>
      <c r="F11" s="15" t="s">
        <v>41</v>
      </c>
      <c r="G11" s="15" t="s">
        <v>42</v>
      </c>
      <c r="H11" s="15" t="s">
        <v>43</v>
      </c>
      <c r="I11" s="15" t="s">
        <v>44</v>
      </c>
      <c r="J11" s="15" t="s">
        <v>45</v>
      </c>
      <c r="K11" s="15" t="s">
        <v>46</v>
      </c>
    </row>
    <row r="12" spans="1:11">
      <c r="A12" s="12">
        <v>116</v>
      </c>
      <c r="B12" s="12">
        <v>101</v>
      </c>
      <c r="C12" s="12">
        <v>112</v>
      </c>
      <c r="E12" s="13" t="s">
        <v>47</v>
      </c>
      <c r="F12" s="13">
        <v>1268.6333333333278</v>
      </c>
      <c r="G12" s="13">
        <v>2</v>
      </c>
      <c r="H12" s="13">
        <v>634.31666666666388</v>
      </c>
      <c r="I12" s="13">
        <v>1.636975881849579</v>
      </c>
      <c r="J12" s="13">
        <v>0.20358130763789428</v>
      </c>
      <c r="K12" s="13">
        <v>3.158842719260647</v>
      </c>
    </row>
    <row r="13" spans="1:11">
      <c r="A13" s="12">
        <v>113</v>
      </c>
      <c r="B13" s="12">
        <v>122</v>
      </c>
      <c r="C13" s="12">
        <v>125</v>
      </c>
      <c r="E13" s="13" t="s">
        <v>48</v>
      </c>
      <c r="F13" s="13">
        <v>22087.100000000002</v>
      </c>
      <c r="G13" s="13">
        <v>57</v>
      </c>
      <c r="H13" s="13">
        <v>387.4929824561404</v>
      </c>
      <c r="I13" s="13"/>
      <c r="J13" s="13"/>
      <c r="K13" s="13"/>
    </row>
    <row r="14" spans="1:11">
      <c r="A14" s="12">
        <v>110</v>
      </c>
      <c r="B14" s="12">
        <v>147</v>
      </c>
      <c r="C14" s="12">
        <v>122</v>
      </c>
      <c r="E14" s="13"/>
      <c r="F14" s="13"/>
      <c r="G14" s="13"/>
      <c r="H14" s="13"/>
      <c r="I14" s="13"/>
      <c r="J14" s="13"/>
      <c r="K14" s="13"/>
    </row>
    <row r="15" spans="1:11" ht="17.25" thickBot="1">
      <c r="A15" s="12">
        <v>97</v>
      </c>
      <c r="B15" s="12">
        <v>116</v>
      </c>
      <c r="C15" s="12">
        <v>119</v>
      </c>
      <c r="E15" s="14" t="s">
        <v>49</v>
      </c>
      <c r="F15" s="14">
        <v>23355.73333333333</v>
      </c>
      <c r="G15" s="14">
        <v>59</v>
      </c>
      <c r="H15" s="14"/>
      <c r="I15" s="14"/>
      <c r="J15" s="14"/>
      <c r="K15" s="14"/>
    </row>
    <row r="16" spans="1:11">
      <c r="A16" s="12">
        <v>105</v>
      </c>
      <c r="B16" s="12">
        <v>146</v>
      </c>
      <c r="C16" s="12">
        <v>136</v>
      </c>
    </row>
    <row r="17" spans="1:3">
      <c r="A17" s="12">
        <v>107</v>
      </c>
      <c r="B17" s="12">
        <v>93</v>
      </c>
      <c r="C17" s="12">
        <v>129</v>
      </c>
    </row>
    <row r="18" spans="1:3">
      <c r="A18" s="12">
        <v>94</v>
      </c>
      <c r="B18" s="12">
        <v>124</v>
      </c>
      <c r="C18" s="12">
        <v>121</v>
      </c>
    </row>
    <row r="19" spans="1:3">
      <c r="A19" s="12">
        <v>138</v>
      </c>
      <c r="B19" s="12">
        <v>109</v>
      </c>
      <c r="C19" s="12">
        <v>135</v>
      </c>
    </row>
    <row r="20" spans="1:3">
      <c r="A20" s="12">
        <v>103</v>
      </c>
      <c r="B20" s="12">
        <v>131</v>
      </c>
      <c r="C20" s="12">
        <v>127</v>
      </c>
    </row>
    <row r="21" spans="1:3">
      <c r="A21" s="12">
        <v>107</v>
      </c>
      <c r="B21" s="12">
        <v>89</v>
      </c>
      <c r="C21" s="12">
        <v>130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평균값 추정</vt:lpstr>
      <vt:lpstr>분산 추정</vt:lpstr>
      <vt:lpstr>비율 추정</vt:lpstr>
      <vt:lpstr>모평균값 검정</vt:lpstr>
      <vt:lpstr>두 집단의 평균 차이 검정</vt:lpstr>
      <vt:lpstr>대응표본 평균 차이 검정</vt:lpstr>
      <vt:lpstr>일원배치 분산 분석</vt:lpstr>
      <vt:lpstr>분석 도구 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2017-12-23T08:00:34Z</dcterms:created>
  <dcterms:modified xsi:type="dcterms:W3CDTF">2024-07-09T07:35:06Z</dcterms:modified>
</cp:coreProperties>
</file>