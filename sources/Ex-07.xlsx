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[HSG]\2024년도 교육\삼성전자 구미사업부 G.제조팀\Excel 활용 Big Data\교재-강의\sources\"/>
    </mc:Choice>
  </mc:AlternateContent>
  <xr:revisionPtr revIDLastSave="0" documentId="13_ncr:1_{361BB410-F70C-4FBA-BE66-9A9D5E0682D7}" xr6:coauthVersionLast="47" xr6:coauthVersionMax="47" xr10:uidLastSave="{00000000-0000-0000-0000-000000000000}"/>
  <bookViews>
    <workbookView xWindow="-120" yWindow="-120" windowWidth="29040" windowHeight="15840" activeTab="2" xr2:uid="{4FB5648A-C5AC-40DB-945B-A1FEC08C1986}"/>
  </bookViews>
  <sheets>
    <sheet name="Sheet1" sheetId="1" r:id="rId1"/>
    <sheet name="Sheet2" sheetId="2" r:id="rId2"/>
    <sheet name="Sheet4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4" l="1"/>
  <c r="J2" i="4"/>
  <c r="H2" i="4"/>
  <c r="G2" i="4"/>
  <c r="F2" i="4"/>
  <c r="E2" i="4"/>
  <c r="J2" i="1"/>
  <c r="I2" i="1"/>
  <c r="H2" i="2"/>
  <c r="G2" i="2"/>
  <c r="F2" i="2"/>
  <c r="E2" i="2"/>
  <c r="D2" i="1"/>
  <c r="F2" i="1" s="1"/>
  <c r="H2" i="1" l="1"/>
  <c r="E2" i="1"/>
  <c r="G2" i="1"/>
</calcChain>
</file>

<file path=xl/sharedStrings.xml><?xml version="1.0" encoding="utf-8"?>
<sst xmlns="http://schemas.openxmlformats.org/spreadsheetml/2006/main" count="39" uniqueCount="23">
  <si>
    <t>회원번호</t>
    <phoneticPr fontId="1" type="noConversion"/>
  </si>
  <si>
    <t>이름</t>
    <phoneticPr fontId="1" type="noConversion"/>
  </si>
  <si>
    <t>주민번호</t>
    <phoneticPr fontId="1" type="noConversion"/>
  </si>
  <si>
    <t>생년월일</t>
    <phoneticPr fontId="1" type="noConversion"/>
  </si>
  <si>
    <t>No-1</t>
    <phoneticPr fontId="1" type="noConversion"/>
  </si>
  <si>
    <t>홍길동</t>
    <phoneticPr fontId="1" type="noConversion"/>
  </si>
  <si>
    <t>월</t>
    <phoneticPr fontId="1" type="noConversion"/>
  </si>
  <si>
    <t>일</t>
    <phoneticPr fontId="1" type="noConversion"/>
  </si>
  <si>
    <t>년도</t>
    <phoneticPr fontId="1" type="noConversion"/>
  </si>
  <si>
    <t>가입년월일</t>
    <phoneticPr fontId="1" type="noConversion"/>
  </si>
  <si>
    <t>년</t>
    <phoneticPr fontId="1" type="noConversion"/>
  </si>
  <si>
    <t>개월</t>
    <phoneticPr fontId="1" type="noConversion"/>
  </si>
  <si>
    <t>일수</t>
    <phoneticPr fontId="1" type="noConversion"/>
  </si>
  <si>
    <t>혜택요일</t>
    <phoneticPr fontId="1" type="noConversion"/>
  </si>
  <si>
    <t>가입요일</t>
    <phoneticPr fontId="1" type="noConversion"/>
  </si>
  <si>
    <t>성별</t>
    <phoneticPr fontId="1" type="noConversion"/>
  </si>
  <si>
    <t>700101-1022222</t>
    <phoneticPr fontId="1" type="noConversion"/>
  </si>
  <si>
    <t>혜택요일명</t>
    <phoneticPr fontId="1" type="noConversion"/>
  </si>
  <si>
    <t>이메일</t>
    <phoneticPr fontId="1" type="noConversion"/>
  </si>
  <si>
    <t>kz4network@gmail.com</t>
    <phoneticPr fontId="1" type="noConversion"/>
  </si>
  <si>
    <t>이메일아이디</t>
    <phoneticPr fontId="1" type="noConversion"/>
  </si>
  <si>
    <t>HP</t>
    <phoneticPr fontId="1" type="noConversion"/>
  </si>
  <si>
    <t>010-9591-1401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</si>
</sst>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kz4networ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A350-98A8-4B4A-89C0-AF059F163B0B}">
  <dimension ref="A1:J2"/>
  <sheetViews>
    <sheetView workbookViewId="0">
      <selection activeCell="J2" sqref="J2"/>
    </sheetView>
  </sheetViews>
  <sheetFormatPr defaultRowHeight="16.5" x14ac:dyDescent="0.3"/>
  <cols>
    <col min="3" max="3" width="15.875" bestFit="1" customWidth="1"/>
    <col min="4" max="4" width="11.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6</v>
      </c>
      <c r="G1" t="s">
        <v>7</v>
      </c>
      <c r="H1" t="s">
        <v>13</v>
      </c>
      <c r="I1" t="s">
        <v>15</v>
      </c>
      <c r="J1" t="s">
        <v>17</v>
      </c>
    </row>
    <row r="2" spans="1:10" x14ac:dyDescent="0.3">
      <c r="A2" t="s">
        <v>4</v>
      </c>
      <c r="B2" t="s">
        <v>5</v>
      </c>
      <c r="C2" t="s">
        <v>16</v>
      </c>
      <c r="D2" s="1">
        <f>DATE(LEFT(C2,2), MID(C2,3,2), MID(C2,5,2))</f>
        <v>25569</v>
      </c>
      <c r="E2">
        <f>YEAR(D2)</f>
        <v>1970</v>
      </c>
      <c r="F2">
        <f>MONTH(D2)</f>
        <v>1</v>
      </c>
      <c r="G2">
        <f>DAY(D2)</f>
        <v>1</v>
      </c>
      <c r="H2">
        <f>WEEKDAY(D2)</f>
        <v>5</v>
      </c>
      <c r="I2" t="str">
        <f>CHOOSE(VALUE(RIGHT(C2,1)) + 1,"남","여","남","여")</f>
        <v>남</v>
      </c>
      <c r="J2" t="str">
        <f>CHOOSE(WEEKDAY(D2), "일", "월", "화", "수", "목", "금", "토")</f>
        <v>목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6D9D3-3823-47D8-820C-0B263B064299}">
  <dimension ref="A1:H2"/>
  <sheetViews>
    <sheetView workbookViewId="0">
      <selection sqref="A1:H2"/>
    </sheetView>
  </sheetViews>
  <sheetFormatPr defaultRowHeight="16.5" x14ac:dyDescent="0.3"/>
  <cols>
    <col min="2" max="2" width="7.125" bestFit="1" customWidth="1"/>
    <col min="3" max="3" width="15.875" bestFit="1" customWidth="1"/>
    <col min="4" max="4" width="11.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11</v>
      </c>
      <c r="G1" t="s">
        <v>12</v>
      </c>
      <c r="H1" t="s">
        <v>14</v>
      </c>
    </row>
    <row r="2" spans="1:8" x14ac:dyDescent="0.3">
      <c r="A2" t="s">
        <v>4</v>
      </c>
      <c r="B2" t="s">
        <v>5</v>
      </c>
      <c r="C2" t="s">
        <v>16</v>
      </c>
      <c r="D2" s="1">
        <v>36923</v>
      </c>
      <c r="E2">
        <f ca="1">DATEDIF(D2,TODAY(),"Y")</f>
        <v>23</v>
      </c>
      <c r="F2">
        <f ca="1">DATEDIF(D2,TODAY(),"YM")</f>
        <v>5</v>
      </c>
      <c r="G2">
        <f ca="1">DATEDIF(D2,TODAY(),"MD")</f>
        <v>7</v>
      </c>
      <c r="H2">
        <f>WEEKDAY(D2, 2)</f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DAC5-FD6C-48E4-BD25-BD42DF1EF660}">
  <dimension ref="A1:K2"/>
  <sheetViews>
    <sheetView tabSelected="1" workbookViewId="0">
      <selection activeCell="M15" sqref="M15"/>
    </sheetView>
  </sheetViews>
  <sheetFormatPr defaultRowHeight="16.5" x14ac:dyDescent="0.3"/>
  <cols>
    <col min="1" max="1" width="16.625" bestFit="1" customWidth="1"/>
    <col min="2" max="2" width="7.125" bestFit="1" customWidth="1"/>
    <col min="3" max="3" width="15.875" bestFit="1" customWidth="1"/>
    <col min="4" max="4" width="11.125" bestFit="1" customWidth="1"/>
    <col min="5" max="5" width="3.5" bestFit="1" customWidth="1"/>
    <col min="6" max="7" width="5.25" bestFit="1" customWidth="1"/>
    <col min="9" max="9" width="23.125" bestFit="1" customWidth="1"/>
    <col min="10" max="10" width="13" bestFit="1" customWidth="1"/>
    <col min="11" max="11" width="13.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11</v>
      </c>
      <c r="G1" t="s">
        <v>12</v>
      </c>
      <c r="H1" t="s">
        <v>14</v>
      </c>
      <c r="I1" t="s">
        <v>18</v>
      </c>
      <c r="J1" t="s">
        <v>20</v>
      </c>
      <c r="K1" t="s">
        <v>21</v>
      </c>
    </row>
    <row r="2" spans="1:11" x14ac:dyDescent="0.3">
      <c r="A2" t="str">
        <f>LEFT(I2, FIND("@", I2)-1) &amp; "-" &amp; RIGHT(K2,4)</f>
        <v>kz4network-1401</v>
      </c>
      <c r="B2" t="s">
        <v>5</v>
      </c>
      <c r="C2" t="s">
        <v>16</v>
      </c>
      <c r="D2" s="1">
        <v>36923</v>
      </c>
      <c r="E2">
        <f ca="1">DATEDIF(D2,TODAY(),"Y")</f>
        <v>23</v>
      </c>
      <c r="F2">
        <f ca="1">DATEDIF(D2,TODAY(),"YM")</f>
        <v>5</v>
      </c>
      <c r="G2">
        <f ca="1">DATEDIF(D2,TODAY(),"MD")</f>
        <v>7</v>
      </c>
      <c r="H2">
        <f>WEEKDAY(D2, 2)</f>
        <v>4</v>
      </c>
      <c r="I2" s="2" t="s">
        <v>19</v>
      </c>
      <c r="J2" t="str">
        <f>LEFT(I2, FIND("@", I2)-1)</f>
        <v>kz4network</v>
      </c>
      <c r="K2" t="s">
        <v>22</v>
      </c>
    </row>
  </sheetData>
  <phoneticPr fontId="1" type="noConversion"/>
  <hyperlinks>
    <hyperlink ref="I2" r:id="rId1" xr:uid="{17D5632C-9ABD-4D8A-B484-53E071E7CD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김대경</dc:creator>
  <cp:lastModifiedBy>김대경</cp:lastModifiedBy>
  <dcterms:created xsi:type="dcterms:W3CDTF">2024-07-08T06:00:58Z</dcterms:created>
  <dcterms:modified xsi:type="dcterms:W3CDTF">2024-07-08T07:33:09Z</dcterms:modified>
</cp:coreProperties>
</file>