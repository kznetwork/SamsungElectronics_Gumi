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[HSG]\2024년도 교육\삼성전자 구미사업부 G.제조팀\Excel 활용 Big Data\교재-강의\sources\"/>
    </mc:Choice>
  </mc:AlternateContent>
  <xr:revisionPtr revIDLastSave="0" documentId="13_ncr:1_{4084972F-A91B-481E-8CB7-5045E4ED6647}" xr6:coauthVersionLast="47" xr6:coauthVersionMax="47" xr10:uidLastSave="{00000000-0000-0000-0000-000000000000}"/>
  <bookViews>
    <workbookView xWindow="-120" yWindow="-120" windowWidth="29040" windowHeight="15840" activeTab="1" xr2:uid="{8C94A80E-54BD-415F-B8B4-48F5DB7AF473}"/>
  </bookViews>
  <sheets>
    <sheet name="AND 게이트 구현" sheetId="1" r:id="rId1"/>
    <sheet name="퍼세트론 예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2" l="1"/>
  <c r="I7" i="2"/>
  <c r="L7" i="2" s="1"/>
  <c r="M7" i="2" s="1"/>
  <c r="N7" i="2" s="1"/>
  <c r="J7" i="2"/>
  <c r="K7" i="2"/>
  <c r="F7" i="2"/>
  <c r="G7" i="2"/>
  <c r="H7" i="2"/>
  <c r="K6" i="2"/>
  <c r="J6" i="2"/>
  <c r="I6" i="2"/>
  <c r="L6" i="2" s="1"/>
  <c r="M6" i="2" s="1"/>
  <c r="N6" i="2" s="1"/>
  <c r="I5" i="2"/>
  <c r="J5" i="2"/>
  <c r="K5" i="2"/>
  <c r="L5" i="2"/>
  <c r="M5" i="2" s="1"/>
  <c r="N5" i="2" s="1"/>
  <c r="C1" i="2"/>
  <c r="E7" i="2" s="1"/>
  <c r="H2" i="1"/>
  <c r="I2" i="1"/>
  <c r="I6" i="1" s="1"/>
  <c r="R2" i="1"/>
  <c r="R3" i="1"/>
  <c r="R4" i="1"/>
  <c r="R5" i="1"/>
  <c r="S2" i="1"/>
  <c r="S3" i="1"/>
  <c r="S4" i="1"/>
  <c r="S5" i="1"/>
  <c r="J4" i="1"/>
  <c r="K5" i="1" s="1"/>
  <c r="Q2" i="1"/>
  <c r="P2" i="1"/>
  <c r="O2" i="1"/>
  <c r="N2" i="1"/>
  <c r="M4" i="1"/>
  <c r="L4" i="1"/>
  <c r="K4" i="1"/>
  <c r="N3" i="1"/>
  <c r="O3" i="1"/>
  <c r="P3" i="1"/>
  <c r="Q3" i="1"/>
  <c r="N4" i="1"/>
  <c r="O4" i="1"/>
  <c r="P4" i="1"/>
  <c r="Q4" i="1"/>
  <c r="N5" i="1"/>
  <c r="P5" i="1" s="1"/>
  <c r="O5" i="1"/>
  <c r="Q5" i="1" s="1"/>
  <c r="K3" i="1"/>
  <c r="L3" i="1"/>
  <c r="M3" i="1"/>
  <c r="M2" i="1"/>
  <c r="L2" i="1"/>
  <c r="K2" i="1"/>
  <c r="I3" i="1"/>
  <c r="I4" i="1"/>
  <c r="I5" i="1"/>
  <c r="H3" i="1"/>
  <c r="H4" i="1"/>
  <c r="H5" i="1"/>
  <c r="O7" i="2" l="1"/>
  <c r="F8" i="2" s="1"/>
  <c r="P7" i="2"/>
  <c r="G8" i="2" s="1"/>
  <c r="Q7" i="2"/>
  <c r="H8" i="2" s="1"/>
  <c r="O6" i="2"/>
  <c r="P6" i="2"/>
  <c r="Q6" i="2"/>
  <c r="O5" i="2"/>
  <c r="F6" i="2" s="1"/>
  <c r="P5" i="2"/>
  <c r="G6" i="2" s="1"/>
  <c r="Q5" i="2"/>
  <c r="H6" i="2" s="1"/>
  <c r="E16" i="2"/>
  <c r="E18" i="2"/>
  <c r="E15" i="2"/>
  <c r="E13" i="2"/>
  <c r="E11" i="2"/>
  <c r="E5" i="2"/>
  <c r="E10" i="2"/>
  <c r="E6" i="2"/>
  <c r="E14" i="2"/>
  <c r="E21" i="2"/>
  <c r="E9" i="2"/>
  <c r="E12" i="2"/>
  <c r="E20" i="2"/>
  <c r="E8" i="2"/>
  <c r="E17" i="2"/>
  <c r="E19" i="2"/>
  <c r="Q6" i="1"/>
  <c r="P6" i="1"/>
  <c r="K8" i="2" l="1"/>
  <c r="J8" i="2"/>
  <c r="I8" i="2"/>
  <c r="L8" i="2" l="1"/>
  <c r="M8" i="2" s="1"/>
  <c r="N8" i="2" s="1"/>
  <c r="O8" i="2" l="1"/>
  <c r="F9" i="2" s="1"/>
  <c r="P8" i="2"/>
  <c r="G9" i="2" s="1"/>
  <c r="Q8" i="2"/>
  <c r="H9" i="2" s="1"/>
  <c r="I9" i="2" l="1"/>
  <c r="L9" i="2" s="1"/>
  <c r="M9" i="2" s="1"/>
  <c r="N9" i="2" s="1"/>
  <c r="J9" i="2"/>
  <c r="K9" i="2"/>
  <c r="Q9" i="2" l="1"/>
  <c r="H10" i="2" s="1"/>
  <c r="O9" i="2"/>
  <c r="F10" i="2" s="1"/>
  <c r="P9" i="2"/>
  <c r="G10" i="2" s="1"/>
  <c r="I10" i="2" l="1"/>
  <c r="L10" i="2" s="1"/>
  <c r="M10" i="2" s="1"/>
  <c r="N10" i="2" s="1"/>
  <c r="K10" i="2"/>
  <c r="J10" i="2"/>
  <c r="P10" i="2" l="1"/>
  <c r="G11" i="2" s="1"/>
  <c r="O10" i="2"/>
  <c r="F11" i="2" s="1"/>
  <c r="Q10" i="2"/>
  <c r="H11" i="2" s="1"/>
  <c r="K11" i="2" l="1"/>
  <c r="I11" i="2"/>
  <c r="J11" i="2"/>
  <c r="L11" i="2" l="1"/>
  <c r="M11" i="2" s="1"/>
  <c r="N11" i="2" s="1"/>
  <c r="P11" i="2" l="1"/>
  <c r="G12" i="2" s="1"/>
  <c r="O11" i="2"/>
  <c r="F12" i="2" s="1"/>
  <c r="Q11" i="2"/>
  <c r="H12" i="2" s="1"/>
  <c r="K12" i="2" l="1"/>
  <c r="I12" i="2"/>
  <c r="J12" i="2"/>
  <c r="L12" i="2" l="1"/>
  <c r="M12" i="2" s="1"/>
  <c r="N12" i="2" s="1"/>
  <c r="O12" i="2" l="1"/>
  <c r="F13" i="2" s="1"/>
  <c r="P12" i="2"/>
  <c r="G13" i="2" s="1"/>
  <c r="Q12" i="2"/>
  <c r="H13" i="2" s="1"/>
  <c r="K13" i="2" l="1"/>
  <c r="J13" i="2"/>
  <c r="I13" i="2"/>
  <c r="L13" i="2" s="1"/>
  <c r="M13" i="2" s="1"/>
  <c r="N13" i="2" s="1"/>
  <c r="Q13" i="2" l="1"/>
  <c r="H14" i="2" s="1"/>
  <c r="O13" i="2"/>
  <c r="F14" i="2" s="1"/>
  <c r="P13" i="2"/>
  <c r="G14" i="2" s="1"/>
  <c r="I14" i="2" l="1"/>
  <c r="J14" i="2"/>
  <c r="K14" i="2"/>
  <c r="L14" i="2" l="1"/>
  <c r="M14" i="2" s="1"/>
  <c r="N14" i="2" s="1"/>
  <c r="P14" i="2" l="1"/>
  <c r="G15" i="2" s="1"/>
  <c r="O14" i="2"/>
  <c r="F15" i="2" s="1"/>
  <c r="Q14" i="2"/>
  <c r="H15" i="2" s="1"/>
  <c r="J15" i="2" l="1"/>
  <c r="K15" i="2"/>
  <c r="I15" i="2"/>
  <c r="L15" i="2" s="1"/>
  <c r="M15" i="2" s="1"/>
  <c r="N15" i="2" s="1"/>
  <c r="O15" i="2" l="1"/>
  <c r="F16" i="2" s="1"/>
  <c r="P15" i="2"/>
  <c r="G16" i="2" s="1"/>
  <c r="Q15" i="2"/>
  <c r="H16" i="2" s="1"/>
  <c r="K16" i="2" l="1"/>
  <c r="J16" i="2"/>
  <c r="I16" i="2"/>
  <c r="L16" i="2" l="1"/>
  <c r="M16" i="2" s="1"/>
  <c r="N16" i="2" s="1"/>
  <c r="O16" i="2" l="1"/>
  <c r="F17" i="2" s="1"/>
  <c r="P16" i="2"/>
  <c r="G17" i="2" s="1"/>
  <c r="Q16" i="2"/>
  <c r="H17" i="2" s="1"/>
  <c r="J17" i="2" l="1"/>
  <c r="K17" i="2"/>
  <c r="I17" i="2"/>
  <c r="L17" i="2" s="1"/>
  <c r="M17" i="2" s="1"/>
  <c r="N17" i="2" s="1"/>
  <c r="Q17" i="2" l="1"/>
  <c r="H18" i="2" s="1"/>
  <c r="O17" i="2"/>
  <c r="F18" i="2" s="1"/>
  <c r="P17" i="2"/>
  <c r="G18" i="2" s="1"/>
  <c r="J18" i="2" l="1"/>
  <c r="I18" i="2"/>
  <c r="K18" i="2"/>
  <c r="L18" i="2" l="1"/>
  <c r="M18" i="2" s="1"/>
  <c r="N18" i="2" s="1"/>
  <c r="P18" i="2" l="1"/>
  <c r="G19" i="2" s="1"/>
  <c r="O18" i="2"/>
  <c r="F19" i="2" s="1"/>
  <c r="Q18" i="2"/>
  <c r="H19" i="2" s="1"/>
  <c r="K19" i="2" l="1"/>
  <c r="I19" i="2"/>
  <c r="J19" i="2"/>
  <c r="L19" i="2" l="1"/>
  <c r="M19" i="2" s="1"/>
  <c r="N19" i="2" s="1"/>
  <c r="O19" i="2" l="1"/>
  <c r="F20" i="2" s="1"/>
  <c r="P19" i="2"/>
  <c r="G20" i="2" s="1"/>
  <c r="Q19" i="2"/>
  <c r="H20" i="2" s="1"/>
  <c r="K20" i="2" l="1"/>
  <c r="J20" i="2"/>
  <c r="I20" i="2"/>
  <c r="L20" i="2" s="1"/>
  <c r="M20" i="2" s="1"/>
  <c r="N20" i="2" s="1"/>
  <c r="O20" i="2" l="1"/>
  <c r="F21" i="2" s="1"/>
  <c r="P20" i="2"/>
  <c r="G21" i="2" s="1"/>
  <c r="Q20" i="2"/>
  <c r="H21" i="2" s="1"/>
  <c r="G2" i="2" l="1"/>
  <c r="J21" i="2"/>
  <c r="H2" i="2"/>
  <c r="K21" i="2"/>
  <c r="F2" i="2"/>
  <c r="I21" i="2"/>
  <c r="L21" i="2" s="1"/>
  <c r="M21" i="2" s="1"/>
  <c r="N21" i="2" s="1"/>
  <c r="Q21" i="2" l="1"/>
  <c r="O21" i="2"/>
  <c r="P21" i="2"/>
  <c r="N2" i="2"/>
  <c r="N1" i="2" l="1"/>
</calcChain>
</file>

<file path=xl/sharedStrings.xml><?xml version="1.0" encoding="utf-8"?>
<sst xmlns="http://schemas.openxmlformats.org/spreadsheetml/2006/main" count="42" uniqueCount="40">
  <si>
    <t>x1</t>
  </si>
  <si>
    <t>x2</t>
  </si>
  <si>
    <t>AND</t>
  </si>
  <si>
    <t>W1</t>
  </si>
  <si>
    <t>W2</t>
  </si>
  <si>
    <t>b</t>
  </si>
  <si>
    <t>초기값</t>
  </si>
  <si>
    <t>활성화 함수</t>
  </si>
  <si>
    <t>손실 함수</t>
    <phoneticPr fontId="1" type="noConversion"/>
  </si>
  <si>
    <t>델타 값 설정</t>
    <phoneticPr fontId="1" type="noConversion"/>
  </si>
  <si>
    <t>가중치 
𝑊
2
W2에 델타 값을 더한 후의 손실 함수 값 계산</t>
    <phoneticPr fontId="1" type="noConversion"/>
  </si>
  <si>
    <t>가중치 
𝑊
2
W2에 델타 값을 뺀 후의 손실 함수 값 계산</t>
    <phoneticPr fontId="1" type="noConversion"/>
  </si>
  <si>
    <t>L 가중치를 사용한 예측 값 계산</t>
    <phoneticPr fontId="1" type="noConversion"/>
  </si>
  <si>
    <t>M 가중치를 사용한 예측 값 계산</t>
    <phoneticPr fontId="1" type="noConversion"/>
  </si>
  <si>
    <t>L 가중치를 사용한 손실 함수</t>
    <phoneticPr fontId="1" type="noConversion"/>
  </si>
  <si>
    <t>M 가중치를 사용한 손실 함수</t>
    <phoneticPr fontId="1" type="noConversion"/>
  </si>
  <si>
    <t>학습
(기울기)</t>
    <phoneticPr fontId="1" type="noConversion"/>
  </si>
  <si>
    <t>1회</t>
    <phoneticPr fontId="1" type="noConversion"/>
  </si>
  <si>
    <t>2회</t>
    <phoneticPr fontId="1" type="noConversion"/>
  </si>
  <si>
    <t>거래금액중위값</t>
    <phoneticPr fontId="1" type="noConversion"/>
  </si>
  <si>
    <t>절편(X0)</t>
    <phoneticPr fontId="1" type="noConversion"/>
  </si>
  <si>
    <t>전용면적(X1)</t>
    <phoneticPr fontId="1" type="noConversion"/>
  </si>
  <si>
    <t>층(X2)</t>
    <phoneticPr fontId="1" type="noConversion"/>
  </si>
  <si>
    <t>거래금액(Y)</t>
    <phoneticPr fontId="1" type="noConversion"/>
  </si>
  <si>
    <t>금액구분</t>
    <phoneticPr fontId="1" type="noConversion"/>
  </si>
  <si>
    <t>W0</t>
    <phoneticPr fontId="1" type="noConversion"/>
  </si>
  <si>
    <t>W0*X0</t>
    <phoneticPr fontId="1" type="noConversion"/>
  </si>
  <si>
    <t>W1*X1</t>
    <phoneticPr fontId="1" type="noConversion"/>
  </si>
  <si>
    <t>W2*X2</t>
    <phoneticPr fontId="1" type="noConversion"/>
  </si>
  <si>
    <t>I*J*K</t>
    <phoneticPr fontId="1" type="noConversion"/>
  </si>
  <si>
    <t>예측값</t>
    <phoneticPr fontId="1" type="noConversion"/>
  </si>
  <si>
    <t>오차</t>
    <phoneticPr fontId="1" type="noConversion"/>
  </si>
  <si>
    <t>학습률</t>
    <phoneticPr fontId="1" type="noConversion"/>
  </si>
  <si>
    <t>W0 증감</t>
    <phoneticPr fontId="1" type="noConversion"/>
  </si>
  <si>
    <t>W1 증감</t>
  </si>
  <si>
    <t>W2 증감</t>
  </si>
  <si>
    <t>마지막 가중치</t>
    <phoneticPr fontId="1" type="noConversion"/>
  </si>
  <si>
    <t>정답률</t>
    <phoneticPr fontId="1" type="noConversion"/>
  </si>
  <si>
    <t>정답</t>
    <phoneticPr fontId="1" type="noConversion"/>
  </si>
  <si>
    <t>오답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</si>
</sst>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000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C7254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1" fontId="0" fillId="0" borderId="0" xfId="0" applyNumberFormat="1">
      <alignment vertical="center"/>
    </xf>
    <xf numFmtId="0" fontId="4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446B-3031-4A1A-876F-90C4C7F10022}">
  <dimension ref="A1:S6"/>
  <sheetViews>
    <sheetView workbookViewId="0">
      <selection activeCell="K16" sqref="K16"/>
    </sheetView>
  </sheetViews>
  <sheetFormatPr defaultRowHeight="16.5" x14ac:dyDescent="0.3"/>
  <cols>
    <col min="1" max="2" width="3.875" bestFit="1" customWidth="1"/>
    <col min="3" max="3" width="6" bestFit="1" customWidth="1"/>
    <col min="4" max="4" width="7.375" bestFit="1" customWidth="1"/>
    <col min="5" max="6" width="4.75" bestFit="1" customWidth="1"/>
    <col min="7" max="7" width="3.875" bestFit="1" customWidth="1"/>
    <col min="8" max="11" width="12.75" bestFit="1" customWidth="1"/>
    <col min="12" max="13" width="9.625" bestFit="1" customWidth="1"/>
    <col min="14" max="17" width="12.75" bestFit="1" customWidth="1"/>
    <col min="18" max="18" width="8.875" bestFit="1" customWidth="1"/>
    <col min="19" max="19" width="12.75" bestFit="1" customWidth="1"/>
  </cols>
  <sheetData>
    <row r="1" spans="1:19" ht="132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16</v>
      </c>
      <c r="K1" s="1" t="s">
        <v>9</v>
      </c>
      <c r="L1" s="2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  <c r="S1" s="1" t="s">
        <v>18</v>
      </c>
    </row>
    <row r="2" spans="1:19" x14ac:dyDescent="0.3">
      <c r="A2" s="2">
        <v>0</v>
      </c>
      <c r="B2" s="2">
        <v>0</v>
      </c>
      <c r="C2" s="2">
        <v>0</v>
      </c>
      <c r="D2" s="1" t="s">
        <v>6</v>
      </c>
      <c r="E2" s="2">
        <v>0.1</v>
      </c>
      <c r="F2" s="2">
        <v>0.2</v>
      </c>
      <c r="G2" s="2">
        <v>0.3</v>
      </c>
      <c r="H2">
        <f>1 / (1 + EXP(-(A2*$E$2 + B2*$F$2 + $G$2)))</f>
        <v>0.57444251681165903</v>
      </c>
      <c r="I2">
        <f>-(C2*LOG(H2) + (1-C2)*LOG(1-H2))</f>
        <v>0.37104176825778507</v>
      </c>
      <c r="J2">
        <v>0.106117236183811</v>
      </c>
      <c r="K2">
        <f>0.0001</f>
        <v>1E-4</v>
      </c>
      <c r="L2">
        <f>$E$2 + $K$2</f>
        <v>0.10010000000000001</v>
      </c>
      <c r="M2">
        <f>$E$2 - $K$2</f>
        <v>9.9900000000000003E-2</v>
      </c>
      <c r="N2">
        <f>1 / (1 + EXP(-(A2*$E$2 + B2*$F$2 + L$4)))</f>
        <v>0.57446696246082818</v>
      </c>
      <c r="O2">
        <f>1 / (1 + EXP(-(A2*$E$2 + B2*$F$2 + M$4)))</f>
        <v>0.57441807079852802</v>
      </c>
      <c r="P2">
        <f>-(C2*LOG(N2) + (1-C2)*LOG(1-N2))</f>
        <v>0.37106671651013912</v>
      </c>
      <c r="Q2">
        <f>-(C2*LOG(O2) + (1-C2)*LOG(1-O2))</f>
        <v>0.37101682106709999</v>
      </c>
      <c r="R2" s="3">
        <f>(A2*$E$2)+(B2*$F$2)+$G$2</f>
        <v>0.3</v>
      </c>
      <c r="S2">
        <f>(A2*$K$3)+(B2*$K$4)+$K$5</f>
        <v>0.29634081643047344</v>
      </c>
    </row>
    <row r="3" spans="1:19" x14ac:dyDescent="0.3">
      <c r="A3" s="2">
        <v>0</v>
      </c>
      <c r="B3" s="2">
        <v>1</v>
      </c>
      <c r="C3" s="2">
        <v>0</v>
      </c>
      <c r="H3">
        <f t="shared" ref="H3:H5" si="0">1 / (1 + EXP(-(A3*$E$2 + B3*$F$2 + $G$2)))</f>
        <v>0.62245933120185459</v>
      </c>
      <c r="I3">
        <f t="shared" ref="I3:I5" si="1">-(C3*LOG(H3) + (1-C3)*LOG(1-H3))</f>
        <v>0.4230362591783815</v>
      </c>
      <c r="J3">
        <v>0.11644114175646259</v>
      </c>
      <c r="K3">
        <f>$E$2 - 0.01 * J2</f>
        <v>9.8938827638161891E-2</v>
      </c>
      <c r="L3">
        <f>$F$2 + $K$2</f>
        <v>0.2001</v>
      </c>
      <c r="M3">
        <f>$F$2 - $K$2</f>
        <v>0.19990000000000002</v>
      </c>
      <c r="N3">
        <f t="shared" ref="N3:N5" si="2">1 / (1 + EXP(-(A3*$E$2 + B3*L$3 + $G$2)))</f>
        <v>0.62248283128527471</v>
      </c>
      <c r="O3">
        <f t="shared" ref="O3:O5" si="3">1 / (1 + EXP(-(A3*$E$2 + B3*M$3 + $G$2)))</f>
        <v>0.62243583054286644</v>
      </c>
      <c r="P3">
        <f t="shared" ref="P3:P5" si="4">-(C3*LOG(N3) + (1-C3)*LOG(1-N3))</f>
        <v>0.42306329275395638</v>
      </c>
      <c r="Q3">
        <f t="shared" ref="Q3:Q5" si="5">-(C3*LOG(O3) + (1-C3)*LOG(1-O3))</f>
        <v>0.42300922662341461</v>
      </c>
      <c r="R3" s="3">
        <f t="shared" ref="R3:R5" si="6">(A3*$E$2)+(B3*$F$2)+$G$2</f>
        <v>0.5</v>
      </c>
      <c r="S3">
        <f t="shared" ref="S3:S5" si="7">(A3*$K$3)+(B3*$K$4)+$K$5</f>
        <v>0.49517640501290883</v>
      </c>
    </row>
    <row r="4" spans="1:19" x14ac:dyDescent="0.3">
      <c r="A4" s="2">
        <v>1</v>
      </c>
      <c r="B4" s="2">
        <v>0</v>
      </c>
      <c r="C4" s="2">
        <v>0</v>
      </c>
      <c r="H4">
        <f t="shared" si="0"/>
        <v>0.598687660112452</v>
      </c>
      <c r="I4">
        <f t="shared" si="1"/>
        <v>0.39651748601080411</v>
      </c>
      <c r="J4">
        <f>(P6 - Q6) / (2 * $K$2)</f>
        <v>0.36591835695265473</v>
      </c>
      <c r="K4">
        <f>$F$2 - 0.01 * J3</f>
        <v>0.19883558858243539</v>
      </c>
      <c r="L4">
        <f>$G$2 + $K$2</f>
        <v>0.30009999999999998</v>
      </c>
      <c r="M4">
        <f>$G$2 - $K$2</f>
        <v>0.2999</v>
      </c>
      <c r="N4">
        <f t="shared" si="2"/>
        <v>0.598687660112452</v>
      </c>
      <c r="O4">
        <f t="shared" si="3"/>
        <v>0.598687660112452</v>
      </c>
      <c r="P4">
        <f t="shared" si="4"/>
        <v>0.39651748601080411</v>
      </c>
      <c r="Q4">
        <f t="shared" si="5"/>
        <v>0.39651748601080411</v>
      </c>
      <c r="R4" s="3">
        <f t="shared" si="6"/>
        <v>0.4</v>
      </c>
      <c r="S4">
        <f t="shared" si="7"/>
        <v>0.39527964406863536</v>
      </c>
    </row>
    <row r="5" spans="1:19" x14ac:dyDescent="0.3">
      <c r="A5" s="2">
        <v>1</v>
      </c>
      <c r="B5" s="2">
        <v>1</v>
      </c>
      <c r="C5" s="2">
        <v>1</v>
      </c>
      <c r="H5">
        <f t="shared" si="0"/>
        <v>0.6456563062257954</v>
      </c>
      <c r="I5">
        <f t="shared" si="1"/>
        <v>0.18999860279518321</v>
      </c>
      <c r="K5">
        <f>$G$2 - 0.01 * J4</f>
        <v>0.29634081643047344</v>
      </c>
      <c r="N5">
        <f t="shared" si="2"/>
        <v>0.64567918431658822</v>
      </c>
      <c r="O5">
        <f t="shared" si="3"/>
        <v>0.64563342746852537</v>
      </c>
      <c r="P5">
        <f t="shared" si="4"/>
        <v>0.18998321434088669</v>
      </c>
      <c r="Q5">
        <f t="shared" si="5"/>
        <v>0.190013992243077</v>
      </c>
      <c r="R5" s="3">
        <f t="shared" si="6"/>
        <v>0.60000000000000009</v>
      </c>
      <c r="S5">
        <f t="shared" si="7"/>
        <v>0.5941152326510708</v>
      </c>
    </row>
    <row r="6" spans="1:19" x14ac:dyDescent="0.3">
      <c r="I6">
        <f>SUM(I2:I5)</f>
        <v>1.3805941162421538</v>
      </c>
      <c r="P6">
        <f>SUM(P2:P5)</f>
        <v>1.3806307096157862</v>
      </c>
      <c r="Q6">
        <f>SUM(Q2:Q5)</f>
        <v>1.3805575259443956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37039-5515-4EF7-BDDA-D5FDECC0095E}">
  <dimension ref="A1:Q21"/>
  <sheetViews>
    <sheetView tabSelected="1" workbookViewId="0">
      <selection activeCell="N23" sqref="N23"/>
    </sheetView>
  </sheetViews>
  <sheetFormatPr defaultRowHeight="16.5" x14ac:dyDescent="0.3"/>
  <cols>
    <col min="1" max="1" width="15.125" bestFit="1" customWidth="1"/>
    <col min="2" max="2" width="12.625" bestFit="1" customWidth="1"/>
    <col min="3" max="3" width="11.875" bestFit="1" customWidth="1"/>
    <col min="4" max="4" width="14.625" bestFit="1" customWidth="1"/>
    <col min="5" max="5" width="13.75" bestFit="1" customWidth="1"/>
    <col min="7" max="7" width="9.375" bestFit="1" customWidth="1"/>
  </cols>
  <sheetData>
    <row r="1" spans="1:17" x14ac:dyDescent="0.3">
      <c r="A1" s="5" t="s">
        <v>19</v>
      </c>
      <c r="B1" s="5"/>
      <c r="C1" s="6">
        <f>MEDIAN(D5:D21)</f>
        <v>22500</v>
      </c>
      <c r="M1" t="s">
        <v>37</v>
      </c>
      <c r="N1">
        <f>N2/(N2+P2)</f>
        <v>0.58823529411764708</v>
      </c>
    </row>
    <row r="2" spans="1:17" x14ac:dyDescent="0.3">
      <c r="A2" s="5" t="s">
        <v>32</v>
      </c>
      <c r="B2" s="5"/>
      <c r="C2">
        <v>0.01</v>
      </c>
      <c r="E2" t="s">
        <v>36</v>
      </c>
      <c r="F2">
        <f>F21</f>
        <v>0.99</v>
      </c>
      <c r="G2">
        <f>G21</f>
        <v>0.37390999999999996</v>
      </c>
      <c r="H2">
        <f>H21</f>
        <v>0.84999999999999987</v>
      </c>
      <c r="M2" t="s">
        <v>38</v>
      </c>
      <c r="N2">
        <f>COUNTIF($N$5:$N$21,"0")</f>
        <v>10</v>
      </c>
      <c r="O2" t="s">
        <v>39</v>
      </c>
      <c r="P2">
        <f>COUNTIF($N$5:$N$21,"-1")+COUNTIF($N$5:$N$21,"1")</f>
        <v>7</v>
      </c>
    </row>
    <row r="4" spans="1:1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3</v>
      </c>
      <c r="H4" t="s">
        <v>4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33</v>
      </c>
      <c r="P4" t="s">
        <v>34</v>
      </c>
      <c r="Q4" t="s">
        <v>35</v>
      </c>
    </row>
    <row r="5" spans="1:17" x14ac:dyDescent="0.3">
      <c r="A5">
        <v>1</v>
      </c>
      <c r="B5">
        <v>100.77</v>
      </c>
      <c r="C5">
        <v>6</v>
      </c>
      <c r="D5" s="4">
        <v>22000</v>
      </c>
      <c r="E5">
        <f>IF(D5&gt;=$C$1,1,0)</f>
        <v>0</v>
      </c>
      <c r="F5">
        <v>1</v>
      </c>
      <c r="G5">
        <v>1</v>
      </c>
      <c r="H5">
        <v>1</v>
      </c>
      <c r="I5">
        <f>A5*F5</f>
        <v>1</v>
      </c>
      <c r="J5">
        <f t="shared" ref="J5:K5" si="0">B5*G5</f>
        <v>100.77</v>
      </c>
      <c r="K5">
        <f t="shared" si="0"/>
        <v>6</v>
      </c>
      <c r="L5">
        <f>I5+J5+K5</f>
        <v>107.77</v>
      </c>
      <c r="M5">
        <f>IF(L5&gt;=0,1,0)</f>
        <v>1</v>
      </c>
      <c r="N5">
        <f>E5-M5</f>
        <v>-1</v>
      </c>
      <c r="O5">
        <f>A5*$N5*$C$2</f>
        <v>-0.01</v>
      </c>
      <c r="P5">
        <f>B5*$N5*$C$2</f>
        <v>-1.0077</v>
      </c>
      <c r="Q5">
        <f>C5*$N5*$C$2</f>
        <v>-0.06</v>
      </c>
    </row>
    <row r="6" spans="1:17" x14ac:dyDescent="0.3">
      <c r="A6">
        <v>1</v>
      </c>
      <c r="B6">
        <v>97.61</v>
      </c>
      <c r="C6">
        <v>7</v>
      </c>
      <c r="D6" s="4">
        <v>12950</v>
      </c>
      <c r="E6">
        <f t="shared" ref="E6:E21" si="1">IF(D6&gt;=$C$1,1,0)</f>
        <v>0</v>
      </c>
      <c r="F6" s="7">
        <f>F5+O5</f>
        <v>0.99</v>
      </c>
      <c r="G6" s="7">
        <f t="shared" ref="G6:H6" si="2">G5+P5</f>
        <v>-7.7000000000000401E-3</v>
      </c>
      <c r="H6" s="7">
        <f t="shared" si="2"/>
        <v>0.94</v>
      </c>
      <c r="I6">
        <f>A6*F6</f>
        <v>0.99</v>
      </c>
      <c r="J6">
        <f t="shared" ref="J6" si="3">B6*G6</f>
        <v>-0.75159700000000396</v>
      </c>
      <c r="K6">
        <f t="shared" ref="K6" si="4">C6*H6</f>
        <v>6.58</v>
      </c>
      <c r="L6">
        <f>I6+J6+K6</f>
        <v>6.8184029999999964</v>
      </c>
      <c r="M6">
        <f>IF(L6&gt;=0,1,0)</f>
        <v>1</v>
      </c>
      <c r="N6">
        <f>E6-M6</f>
        <v>-1</v>
      </c>
      <c r="O6">
        <f>A6*$N6*$C$2</f>
        <v>-0.01</v>
      </c>
      <c r="P6">
        <f>B6*$N6*$C$2</f>
        <v>-0.97609999999999997</v>
      </c>
      <c r="Q6">
        <f>C6*$N6*$C$2</f>
        <v>-7.0000000000000007E-2</v>
      </c>
    </row>
    <row r="7" spans="1:17" x14ac:dyDescent="0.3">
      <c r="A7">
        <v>1</v>
      </c>
      <c r="B7">
        <v>101.991</v>
      </c>
      <c r="C7">
        <v>5</v>
      </c>
      <c r="D7" s="4">
        <v>22500</v>
      </c>
      <c r="E7">
        <f t="shared" si="1"/>
        <v>1</v>
      </c>
      <c r="F7" s="7">
        <f t="shared" ref="F7:F21" si="5">F6+O6</f>
        <v>0.98</v>
      </c>
      <c r="G7" s="7">
        <f t="shared" ref="G7:G21" si="6">G6+P6</f>
        <v>-0.98380000000000001</v>
      </c>
      <c r="H7" s="7">
        <f t="shared" ref="H7:H21" si="7">H6+Q6</f>
        <v>0.86999999999999988</v>
      </c>
      <c r="I7">
        <f t="shared" ref="I7:I21" si="8">A7*F7</f>
        <v>0.98</v>
      </c>
      <c r="J7">
        <f t="shared" ref="J7:J21" si="9">B7*G7</f>
        <v>-100.3387458</v>
      </c>
      <c r="K7">
        <f t="shared" ref="K7:K21" si="10">C7*H7</f>
        <v>4.3499999999999996</v>
      </c>
      <c r="L7">
        <f t="shared" ref="L7:L21" si="11">I7+J7+K7</f>
        <v>-95.0087458</v>
      </c>
      <c r="M7">
        <f t="shared" ref="M7:M21" si="12">IF(L7&gt;=0,1,0)</f>
        <v>0</v>
      </c>
      <c r="N7">
        <f t="shared" ref="N7:N21" si="13">E7-M7</f>
        <v>1</v>
      </c>
      <c r="O7">
        <f t="shared" ref="O7:O21" si="14">A7*$N7*$C$2</f>
        <v>0.01</v>
      </c>
      <c r="P7">
        <f t="shared" ref="P7:P21" si="15">B7*$N7*$C$2</f>
        <v>1.0199100000000001</v>
      </c>
      <c r="Q7">
        <f t="shared" ref="Q7:Q21" si="16">C7*$N7*$C$2</f>
        <v>0.05</v>
      </c>
    </row>
    <row r="8" spans="1:17" x14ac:dyDescent="0.3">
      <c r="A8">
        <v>1</v>
      </c>
      <c r="B8">
        <v>95.88</v>
      </c>
      <c r="C8">
        <v>7</v>
      </c>
      <c r="D8" s="4">
        <v>13400</v>
      </c>
      <c r="E8">
        <f t="shared" si="1"/>
        <v>0</v>
      </c>
      <c r="F8" s="7">
        <f t="shared" si="5"/>
        <v>0.99</v>
      </c>
      <c r="G8" s="7">
        <f t="shared" si="6"/>
        <v>3.6110000000000086E-2</v>
      </c>
      <c r="H8" s="7">
        <f t="shared" si="7"/>
        <v>0.91999999999999993</v>
      </c>
      <c r="I8">
        <f t="shared" si="8"/>
        <v>0.99</v>
      </c>
      <c r="J8">
        <f t="shared" si="9"/>
        <v>3.4622268000000083</v>
      </c>
      <c r="K8">
        <f t="shared" si="10"/>
        <v>6.4399999999999995</v>
      </c>
      <c r="L8">
        <f t="shared" si="11"/>
        <v>10.892226800000007</v>
      </c>
      <c r="M8">
        <f t="shared" si="12"/>
        <v>1</v>
      </c>
      <c r="N8">
        <f t="shared" si="13"/>
        <v>-1</v>
      </c>
      <c r="O8">
        <f t="shared" si="14"/>
        <v>-0.01</v>
      </c>
      <c r="P8">
        <f t="shared" si="15"/>
        <v>-0.95879999999999999</v>
      </c>
      <c r="Q8">
        <f t="shared" si="16"/>
        <v>-7.0000000000000007E-2</v>
      </c>
    </row>
    <row r="9" spans="1:17" x14ac:dyDescent="0.3">
      <c r="A9">
        <v>1</v>
      </c>
      <c r="B9">
        <v>95.88</v>
      </c>
      <c r="C9">
        <v>11</v>
      </c>
      <c r="D9" s="4">
        <v>13450</v>
      </c>
      <c r="E9">
        <f t="shared" si="1"/>
        <v>0</v>
      </c>
      <c r="F9" s="7">
        <f t="shared" si="5"/>
        <v>0.98</v>
      </c>
      <c r="G9" s="7">
        <f t="shared" si="6"/>
        <v>-0.9226899999999999</v>
      </c>
      <c r="H9" s="7">
        <f t="shared" si="7"/>
        <v>0.84999999999999987</v>
      </c>
      <c r="I9">
        <f t="shared" si="8"/>
        <v>0.98</v>
      </c>
      <c r="J9">
        <f t="shared" si="9"/>
        <v>-88.467517199999989</v>
      </c>
      <c r="K9">
        <f t="shared" si="10"/>
        <v>9.3499999999999979</v>
      </c>
      <c r="L9">
        <f t="shared" si="11"/>
        <v>-78.137517199999991</v>
      </c>
      <c r="M9">
        <f t="shared" si="12"/>
        <v>0</v>
      </c>
      <c r="N9">
        <f t="shared" si="13"/>
        <v>0</v>
      </c>
      <c r="O9">
        <f t="shared" si="14"/>
        <v>0</v>
      </c>
      <c r="P9">
        <f t="shared" si="15"/>
        <v>0</v>
      </c>
      <c r="Q9">
        <f t="shared" si="16"/>
        <v>0</v>
      </c>
    </row>
    <row r="10" spans="1:17" x14ac:dyDescent="0.3">
      <c r="A10">
        <v>1</v>
      </c>
      <c r="B10">
        <v>94.96</v>
      </c>
      <c r="C10">
        <v>7</v>
      </c>
      <c r="D10" s="4">
        <v>4630</v>
      </c>
      <c r="E10">
        <f t="shared" si="1"/>
        <v>0</v>
      </c>
      <c r="F10" s="7">
        <f t="shared" si="5"/>
        <v>0.98</v>
      </c>
      <c r="G10" s="7">
        <f t="shared" si="6"/>
        <v>-0.9226899999999999</v>
      </c>
      <c r="H10" s="7">
        <f t="shared" si="7"/>
        <v>0.84999999999999987</v>
      </c>
      <c r="I10">
        <f t="shared" si="8"/>
        <v>0.98</v>
      </c>
      <c r="J10">
        <f t="shared" si="9"/>
        <v>-87.618642399999985</v>
      </c>
      <c r="K10">
        <f t="shared" si="10"/>
        <v>5.9499999999999993</v>
      </c>
      <c r="L10">
        <f t="shared" si="11"/>
        <v>-80.688642399999978</v>
      </c>
      <c r="M10">
        <f t="shared" si="12"/>
        <v>0</v>
      </c>
      <c r="N10">
        <f t="shared" si="13"/>
        <v>0</v>
      </c>
      <c r="O10">
        <f t="shared" si="14"/>
        <v>0</v>
      </c>
      <c r="P10">
        <f t="shared" si="15"/>
        <v>0</v>
      </c>
      <c r="Q10">
        <f t="shared" si="16"/>
        <v>0</v>
      </c>
    </row>
    <row r="11" spans="1:17" x14ac:dyDescent="0.3">
      <c r="A11">
        <v>1</v>
      </c>
      <c r="B11">
        <v>94.51</v>
      </c>
      <c r="C11">
        <v>7</v>
      </c>
      <c r="D11" s="4">
        <v>13800</v>
      </c>
      <c r="E11">
        <f t="shared" si="1"/>
        <v>0</v>
      </c>
      <c r="F11" s="7">
        <f t="shared" si="5"/>
        <v>0.98</v>
      </c>
      <c r="G11" s="7">
        <f t="shared" si="6"/>
        <v>-0.9226899999999999</v>
      </c>
      <c r="H11" s="7">
        <f t="shared" si="7"/>
        <v>0.84999999999999987</v>
      </c>
      <c r="I11">
        <f t="shared" si="8"/>
        <v>0.98</v>
      </c>
      <c r="J11">
        <f t="shared" si="9"/>
        <v>-87.203431899999998</v>
      </c>
      <c r="K11">
        <f t="shared" si="10"/>
        <v>5.9499999999999993</v>
      </c>
      <c r="L11">
        <f t="shared" si="11"/>
        <v>-80.273431899999991</v>
      </c>
      <c r="M11">
        <f t="shared" si="12"/>
        <v>0</v>
      </c>
      <c r="N11">
        <f t="shared" si="13"/>
        <v>0</v>
      </c>
      <c r="O11">
        <f t="shared" si="14"/>
        <v>0</v>
      </c>
      <c r="P11">
        <f t="shared" si="15"/>
        <v>0</v>
      </c>
      <c r="Q11">
        <f t="shared" si="16"/>
        <v>0</v>
      </c>
    </row>
    <row r="12" spans="1:17" x14ac:dyDescent="0.3">
      <c r="A12">
        <v>1</v>
      </c>
      <c r="B12">
        <v>108.77</v>
      </c>
      <c r="C12">
        <v>4</v>
      </c>
      <c r="D12" s="4">
        <v>22500</v>
      </c>
      <c r="E12">
        <f t="shared" si="1"/>
        <v>1</v>
      </c>
      <c r="F12" s="7">
        <f t="shared" si="5"/>
        <v>0.98</v>
      </c>
      <c r="G12" s="7">
        <f t="shared" si="6"/>
        <v>-0.9226899999999999</v>
      </c>
      <c r="H12" s="7">
        <f t="shared" si="7"/>
        <v>0.84999999999999987</v>
      </c>
      <c r="I12">
        <f t="shared" si="8"/>
        <v>0.98</v>
      </c>
      <c r="J12">
        <f t="shared" si="9"/>
        <v>-100.36099129999998</v>
      </c>
      <c r="K12">
        <f t="shared" si="10"/>
        <v>3.3999999999999995</v>
      </c>
      <c r="L12">
        <f t="shared" si="11"/>
        <v>-95.980991299999971</v>
      </c>
      <c r="M12">
        <f t="shared" si="12"/>
        <v>0</v>
      </c>
      <c r="N12">
        <f t="shared" si="13"/>
        <v>1</v>
      </c>
      <c r="O12">
        <f t="shared" si="14"/>
        <v>0.01</v>
      </c>
      <c r="P12">
        <f t="shared" si="15"/>
        <v>1.0876999999999999</v>
      </c>
      <c r="Q12">
        <f t="shared" si="16"/>
        <v>0.04</v>
      </c>
    </row>
    <row r="13" spans="1:17" x14ac:dyDescent="0.3">
      <c r="A13">
        <v>1</v>
      </c>
      <c r="B13">
        <v>105.61</v>
      </c>
      <c r="C13">
        <v>12</v>
      </c>
      <c r="D13" s="4">
        <v>24500</v>
      </c>
      <c r="E13">
        <f t="shared" si="1"/>
        <v>1</v>
      </c>
      <c r="F13" s="7">
        <f t="shared" si="5"/>
        <v>0.99</v>
      </c>
      <c r="G13" s="7">
        <f t="shared" si="6"/>
        <v>0.16500999999999999</v>
      </c>
      <c r="H13" s="7">
        <f t="shared" si="7"/>
        <v>0.8899999999999999</v>
      </c>
      <c r="I13">
        <f t="shared" si="8"/>
        <v>0.99</v>
      </c>
      <c r="J13">
        <f t="shared" si="9"/>
        <v>17.426706100000001</v>
      </c>
      <c r="K13">
        <f t="shared" si="10"/>
        <v>10.68</v>
      </c>
      <c r="L13">
        <f t="shared" si="11"/>
        <v>29.096706099999999</v>
      </c>
      <c r="M13">
        <f t="shared" si="12"/>
        <v>1</v>
      </c>
      <c r="N13">
        <f t="shared" si="13"/>
        <v>0</v>
      </c>
      <c r="O13">
        <f t="shared" si="14"/>
        <v>0</v>
      </c>
      <c r="P13">
        <f t="shared" si="15"/>
        <v>0</v>
      </c>
      <c r="Q13">
        <f t="shared" si="16"/>
        <v>0</v>
      </c>
    </row>
    <row r="14" spans="1:17" x14ac:dyDescent="0.3">
      <c r="A14">
        <v>1</v>
      </c>
      <c r="B14">
        <v>109.991</v>
      </c>
      <c r="C14">
        <v>10</v>
      </c>
      <c r="D14" s="4">
        <v>25500</v>
      </c>
      <c r="E14">
        <f t="shared" si="1"/>
        <v>1</v>
      </c>
      <c r="F14" s="7">
        <f t="shared" si="5"/>
        <v>0.99</v>
      </c>
      <c r="G14" s="7">
        <f t="shared" si="6"/>
        <v>0.16500999999999999</v>
      </c>
      <c r="H14" s="7">
        <f t="shared" si="7"/>
        <v>0.8899999999999999</v>
      </c>
      <c r="I14">
        <f t="shared" si="8"/>
        <v>0.99</v>
      </c>
      <c r="J14">
        <f t="shared" si="9"/>
        <v>18.14961491</v>
      </c>
      <c r="K14">
        <f t="shared" si="10"/>
        <v>8.8999999999999986</v>
      </c>
      <c r="L14">
        <f t="shared" si="11"/>
        <v>28.039614909999997</v>
      </c>
      <c r="M14">
        <f t="shared" si="12"/>
        <v>1</v>
      </c>
      <c r="N14">
        <f t="shared" si="13"/>
        <v>0</v>
      </c>
      <c r="O14">
        <f t="shared" si="14"/>
        <v>0</v>
      </c>
      <c r="P14">
        <f t="shared" si="15"/>
        <v>0</v>
      </c>
      <c r="Q14">
        <f t="shared" si="16"/>
        <v>0</v>
      </c>
    </row>
    <row r="15" spans="1:17" x14ac:dyDescent="0.3">
      <c r="A15">
        <v>1</v>
      </c>
      <c r="B15">
        <v>103.88</v>
      </c>
      <c r="C15">
        <v>10</v>
      </c>
      <c r="D15" s="4">
        <v>25500</v>
      </c>
      <c r="E15">
        <f t="shared" si="1"/>
        <v>1</v>
      </c>
      <c r="F15" s="7">
        <f t="shared" si="5"/>
        <v>0.99</v>
      </c>
      <c r="G15" s="7">
        <f t="shared" si="6"/>
        <v>0.16500999999999999</v>
      </c>
      <c r="H15" s="7">
        <f t="shared" si="7"/>
        <v>0.8899999999999999</v>
      </c>
      <c r="I15">
        <f t="shared" si="8"/>
        <v>0.99</v>
      </c>
      <c r="J15">
        <f t="shared" si="9"/>
        <v>17.141238799999996</v>
      </c>
      <c r="K15">
        <f t="shared" si="10"/>
        <v>8.8999999999999986</v>
      </c>
      <c r="L15">
        <f t="shared" si="11"/>
        <v>27.031238799999993</v>
      </c>
      <c r="M15">
        <f t="shared" si="12"/>
        <v>1</v>
      </c>
      <c r="N15">
        <f t="shared" si="13"/>
        <v>0</v>
      </c>
      <c r="O15">
        <f t="shared" si="14"/>
        <v>0</v>
      </c>
      <c r="P15">
        <f t="shared" si="15"/>
        <v>0</v>
      </c>
      <c r="Q15">
        <f t="shared" si="16"/>
        <v>0</v>
      </c>
    </row>
    <row r="16" spans="1:17" x14ac:dyDescent="0.3">
      <c r="A16">
        <v>1</v>
      </c>
      <c r="B16">
        <v>103.88</v>
      </c>
      <c r="C16">
        <v>1</v>
      </c>
      <c r="D16" s="4">
        <v>25500</v>
      </c>
      <c r="E16">
        <f t="shared" si="1"/>
        <v>1</v>
      </c>
      <c r="F16" s="7">
        <f t="shared" si="5"/>
        <v>0.99</v>
      </c>
      <c r="G16" s="7">
        <f t="shared" si="6"/>
        <v>0.16500999999999999</v>
      </c>
      <c r="H16" s="7">
        <f t="shared" si="7"/>
        <v>0.8899999999999999</v>
      </c>
      <c r="I16">
        <f t="shared" si="8"/>
        <v>0.99</v>
      </c>
      <c r="J16">
        <f t="shared" si="9"/>
        <v>17.141238799999996</v>
      </c>
      <c r="K16">
        <f t="shared" si="10"/>
        <v>0.8899999999999999</v>
      </c>
      <c r="L16">
        <f t="shared" si="11"/>
        <v>19.021238799999995</v>
      </c>
      <c r="M16">
        <f t="shared" si="12"/>
        <v>1</v>
      </c>
      <c r="N16">
        <f t="shared" si="13"/>
        <v>0</v>
      </c>
      <c r="O16">
        <f t="shared" si="14"/>
        <v>0</v>
      </c>
      <c r="P16">
        <f t="shared" si="15"/>
        <v>0</v>
      </c>
      <c r="Q16">
        <f t="shared" si="16"/>
        <v>0</v>
      </c>
    </row>
    <row r="17" spans="1:17" x14ac:dyDescent="0.3">
      <c r="A17">
        <v>1</v>
      </c>
      <c r="B17">
        <v>95.88</v>
      </c>
      <c r="C17">
        <v>11</v>
      </c>
      <c r="D17" s="4">
        <v>4800</v>
      </c>
      <c r="E17">
        <f t="shared" si="1"/>
        <v>0</v>
      </c>
      <c r="F17" s="7">
        <f t="shared" si="5"/>
        <v>0.99</v>
      </c>
      <c r="G17" s="7">
        <f t="shared" si="6"/>
        <v>0.16500999999999999</v>
      </c>
      <c r="H17" s="7">
        <f t="shared" si="7"/>
        <v>0.8899999999999999</v>
      </c>
      <c r="I17">
        <f t="shared" si="8"/>
        <v>0.99</v>
      </c>
      <c r="J17">
        <f t="shared" si="9"/>
        <v>15.821158799999997</v>
      </c>
      <c r="K17">
        <f t="shared" si="10"/>
        <v>9.7899999999999991</v>
      </c>
      <c r="L17">
        <f t="shared" si="11"/>
        <v>26.601158799999997</v>
      </c>
      <c r="M17">
        <f t="shared" si="12"/>
        <v>1</v>
      </c>
      <c r="N17">
        <f t="shared" si="13"/>
        <v>-1</v>
      </c>
      <c r="O17">
        <f t="shared" si="14"/>
        <v>-0.01</v>
      </c>
      <c r="P17">
        <f t="shared" si="15"/>
        <v>-0.95879999999999999</v>
      </c>
      <c r="Q17">
        <f t="shared" si="16"/>
        <v>-0.11</v>
      </c>
    </row>
    <row r="18" spans="1:17" x14ac:dyDescent="0.3">
      <c r="A18">
        <v>1</v>
      </c>
      <c r="B18">
        <v>94.96</v>
      </c>
      <c r="C18">
        <v>7</v>
      </c>
      <c r="D18" s="4">
        <v>4800</v>
      </c>
      <c r="E18">
        <f t="shared" si="1"/>
        <v>0</v>
      </c>
      <c r="F18" s="7">
        <f t="shared" si="5"/>
        <v>0.98</v>
      </c>
      <c r="G18" s="7">
        <f t="shared" si="6"/>
        <v>-0.79379</v>
      </c>
      <c r="H18" s="7">
        <f t="shared" si="7"/>
        <v>0.77999999999999992</v>
      </c>
      <c r="I18">
        <f t="shared" si="8"/>
        <v>0.98</v>
      </c>
      <c r="J18">
        <f t="shared" si="9"/>
        <v>-75.378298399999991</v>
      </c>
      <c r="K18">
        <f t="shared" si="10"/>
        <v>5.4599999999999991</v>
      </c>
      <c r="L18">
        <f t="shared" si="11"/>
        <v>-68.938298399999994</v>
      </c>
      <c r="M18">
        <f t="shared" si="12"/>
        <v>0</v>
      </c>
      <c r="N18">
        <f t="shared" si="13"/>
        <v>0</v>
      </c>
      <c r="O18">
        <f t="shared" si="14"/>
        <v>0</v>
      </c>
      <c r="P18">
        <f t="shared" si="15"/>
        <v>0</v>
      </c>
      <c r="Q18">
        <f t="shared" si="16"/>
        <v>0</v>
      </c>
    </row>
    <row r="19" spans="1:17" x14ac:dyDescent="0.3">
      <c r="A19">
        <v>1</v>
      </c>
      <c r="B19">
        <v>116.77</v>
      </c>
      <c r="C19">
        <v>7</v>
      </c>
      <c r="D19" s="4">
        <v>25500</v>
      </c>
      <c r="E19">
        <f t="shared" si="1"/>
        <v>1</v>
      </c>
      <c r="F19" s="7">
        <f t="shared" si="5"/>
        <v>0.98</v>
      </c>
      <c r="G19" s="7">
        <f t="shared" si="6"/>
        <v>-0.79379</v>
      </c>
      <c r="H19" s="7">
        <f t="shared" si="7"/>
        <v>0.77999999999999992</v>
      </c>
      <c r="I19">
        <f t="shared" si="8"/>
        <v>0.98</v>
      </c>
      <c r="J19">
        <f t="shared" si="9"/>
        <v>-92.690858300000002</v>
      </c>
      <c r="K19">
        <f t="shared" si="10"/>
        <v>5.4599999999999991</v>
      </c>
      <c r="L19">
        <f t="shared" si="11"/>
        <v>-86.250858300000004</v>
      </c>
      <c r="M19">
        <f t="shared" si="12"/>
        <v>0</v>
      </c>
      <c r="N19">
        <f t="shared" si="13"/>
        <v>1</v>
      </c>
      <c r="O19">
        <f t="shared" si="14"/>
        <v>0.01</v>
      </c>
      <c r="P19">
        <f t="shared" si="15"/>
        <v>1.1677</v>
      </c>
      <c r="Q19">
        <f t="shared" si="16"/>
        <v>7.0000000000000007E-2</v>
      </c>
    </row>
    <row r="20" spans="1:17" x14ac:dyDescent="0.3">
      <c r="A20">
        <v>1</v>
      </c>
      <c r="B20">
        <v>113.61</v>
      </c>
      <c r="C20">
        <v>8</v>
      </c>
      <c r="D20" s="4">
        <v>25500</v>
      </c>
      <c r="E20">
        <f t="shared" si="1"/>
        <v>1</v>
      </c>
      <c r="F20" s="7">
        <f t="shared" si="5"/>
        <v>0.99</v>
      </c>
      <c r="G20" s="7">
        <f t="shared" si="6"/>
        <v>0.37390999999999996</v>
      </c>
      <c r="H20" s="7">
        <f t="shared" si="7"/>
        <v>0.84999999999999987</v>
      </c>
      <c r="I20">
        <f t="shared" si="8"/>
        <v>0.99</v>
      </c>
      <c r="J20">
        <f t="shared" si="9"/>
        <v>42.479915099999992</v>
      </c>
      <c r="K20">
        <f t="shared" si="10"/>
        <v>6.7999999999999989</v>
      </c>
      <c r="L20">
        <f t="shared" si="11"/>
        <v>50.269915099999992</v>
      </c>
      <c r="M20">
        <f t="shared" si="12"/>
        <v>1</v>
      </c>
      <c r="N20">
        <f t="shared" si="13"/>
        <v>0</v>
      </c>
      <c r="O20">
        <f t="shared" si="14"/>
        <v>0</v>
      </c>
      <c r="P20">
        <f t="shared" si="15"/>
        <v>0</v>
      </c>
      <c r="Q20">
        <f t="shared" si="16"/>
        <v>0</v>
      </c>
    </row>
    <row r="21" spans="1:17" x14ac:dyDescent="0.3">
      <c r="A21">
        <v>1</v>
      </c>
      <c r="B21">
        <v>117.991</v>
      </c>
      <c r="C21">
        <v>9</v>
      </c>
      <c r="D21" s="4">
        <v>29500</v>
      </c>
      <c r="E21">
        <f t="shared" si="1"/>
        <v>1</v>
      </c>
      <c r="F21" s="7">
        <f t="shared" si="5"/>
        <v>0.99</v>
      </c>
      <c r="G21" s="7">
        <f t="shared" si="6"/>
        <v>0.37390999999999996</v>
      </c>
      <c r="H21" s="7">
        <f t="shared" si="7"/>
        <v>0.84999999999999987</v>
      </c>
      <c r="I21">
        <f t="shared" si="8"/>
        <v>0.99</v>
      </c>
      <c r="J21">
        <f t="shared" si="9"/>
        <v>44.118014809999998</v>
      </c>
      <c r="K21">
        <f t="shared" si="10"/>
        <v>7.6499999999999986</v>
      </c>
      <c r="L21">
        <f t="shared" si="11"/>
        <v>52.758014809999999</v>
      </c>
      <c r="M21">
        <f t="shared" si="12"/>
        <v>1</v>
      </c>
      <c r="N21">
        <f t="shared" si="13"/>
        <v>0</v>
      </c>
      <c r="O21">
        <f t="shared" si="14"/>
        <v>0</v>
      </c>
      <c r="P21">
        <f t="shared" si="15"/>
        <v>0</v>
      </c>
      <c r="Q21">
        <f t="shared" si="16"/>
        <v>0</v>
      </c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AND 게이트 구현</vt:lpstr>
      <vt:lpstr>퍼세트론 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DaeKyeong</dc:creator>
  <cp:lastModifiedBy>DaeKyeong</cp:lastModifiedBy>
  <dcterms:created xsi:type="dcterms:W3CDTF">2024-07-11T01:35:00Z</dcterms:created>
  <dcterms:modified xsi:type="dcterms:W3CDTF">2024-07-11T05:27:57Z</dcterms:modified>
</cp:coreProperties>
</file>