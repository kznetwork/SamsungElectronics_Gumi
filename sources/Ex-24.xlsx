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amsungElectronics_Gumi\교재-강의\sources\"/>
    </mc:Choice>
  </mc:AlternateContent>
  <xr:revisionPtr revIDLastSave="0" documentId="13_ncr:1_{ACBCB635-852C-499A-97F4-7EA31A46FD2D}" xr6:coauthVersionLast="47" xr6:coauthVersionMax="47" xr10:uidLastSave="{00000000-0000-0000-0000-000000000000}"/>
  <bookViews>
    <workbookView xWindow="-110" yWindow="-110" windowWidth="25820" windowHeight="15500" xr2:uid="{5C78570F-192C-40D5-A7DF-98EE3341F6D9}"/>
  </bookViews>
  <sheets>
    <sheet name="통계함수" sheetId="4" r:id="rId1"/>
    <sheet name="회귀분석결과" sheetId="2" r:id="rId2"/>
    <sheet name="회귀분석" sheetId="1" r:id="rId3"/>
    <sheet name="회귀분석결정계수" sheetId="3" r:id="rId4"/>
  </sheets>
  <definedNames>
    <definedName name="solver_adj" localSheetId="0" hidden="1">통계함수!#REF!</definedName>
    <definedName name="solver_adj" localSheetId="2" hidden="1">회귀분석!$B$3:$E$3</definedName>
    <definedName name="solver_cvg" localSheetId="0" hidden="1">0.0001</definedName>
    <definedName name="solver_cvg" localSheetId="2" hidden="1">0.0001</definedName>
    <definedName name="solver_drv" localSheetId="0" hidden="1">1</definedName>
    <definedName name="solver_drv" localSheetId="2" hidden="1">1</definedName>
    <definedName name="solver_eng" localSheetId="0" hidden="1">1</definedName>
    <definedName name="solver_eng" localSheetId="2" hidden="1">1</definedName>
    <definedName name="solver_est" localSheetId="0" hidden="1">1</definedName>
    <definedName name="solver_est" localSheetId="2" hidden="1">1</definedName>
    <definedName name="solver_itr" localSheetId="0" hidden="1">2147483647</definedName>
    <definedName name="solver_itr" localSheetId="2" hidden="1">2147483647</definedName>
    <definedName name="solver_mip" localSheetId="0" hidden="1">2147483647</definedName>
    <definedName name="solver_mip" localSheetId="2" hidden="1">2147483647</definedName>
    <definedName name="solver_mni" localSheetId="0" hidden="1">30</definedName>
    <definedName name="solver_mni" localSheetId="2" hidden="1">30</definedName>
    <definedName name="solver_mrt" localSheetId="0" hidden="1">0.075</definedName>
    <definedName name="solver_mrt" localSheetId="2" hidden="1">0.075</definedName>
    <definedName name="solver_msl" localSheetId="0" hidden="1">2</definedName>
    <definedName name="solver_msl" localSheetId="2" hidden="1">2</definedName>
    <definedName name="solver_neg" localSheetId="0" hidden="1">2</definedName>
    <definedName name="solver_neg" localSheetId="2" hidden="1">2</definedName>
    <definedName name="solver_nod" localSheetId="0" hidden="1">2147483647</definedName>
    <definedName name="solver_nod" localSheetId="2" hidden="1">2147483647</definedName>
    <definedName name="solver_num" localSheetId="0" hidden="1">0</definedName>
    <definedName name="solver_num" localSheetId="2" hidden="1">0</definedName>
    <definedName name="solver_nwt" localSheetId="0" hidden="1">1</definedName>
    <definedName name="solver_nwt" localSheetId="2" hidden="1">1</definedName>
    <definedName name="solver_opt" localSheetId="0" hidden="1">통계함수!#REF!</definedName>
    <definedName name="solver_opt" localSheetId="2" hidden="1">회귀분석!$L$6</definedName>
    <definedName name="solver_pre" localSheetId="0" hidden="1">0.000001</definedName>
    <definedName name="solver_pre" localSheetId="2" hidden="1">0.000001</definedName>
    <definedName name="solver_rbv" localSheetId="0" hidden="1">1</definedName>
    <definedName name="solver_rbv" localSheetId="2" hidden="1">1</definedName>
    <definedName name="solver_rlx" localSheetId="0" hidden="1">2</definedName>
    <definedName name="solver_rlx" localSheetId="2" hidden="1">2</definedName>
    <definedName name="solver_rsd" localSheetId="0" hidden="1">0</definedName>
    <definedName name="solver_rsd" localSheetId="2" hidden="1">0</definedName>
    <definedName name="solver_scl" localSheetId="0" hidden="1">1</definedName>
    <definedName name="solver_scl" localSheetId="2" hidden="1">1</definedName>
    <definedName name="solver_sho" localSheetId="0" hidden="1">2</definedName>
    <definedName name="solver_sho" localSheetId="2" hidden="1">2</definedName>
    <definedName name="solver_ssz" localSheetId="0" hidden="1">100</definedName>
    <definedName name="solver_ssz" localSheetId="2" hidden="1">100</definedName>
    <definedName name="solver_tim" localSheetId="0" hidden="1">2147483647</definedName>
    <definedName name="solver_tim" localSheetId="2" hidden="1">2147483647</definedName>
    <definedName name="solver_tol" localSheetId="0" hidden="1">0.01</definedName>
    <definedName name="solver_tol" localSheetId="2" hidden="1">0.01</definedName>
    <definedName name="solver_typ" localSheetId="0" hidden="1">2</definedName>
    <definedName name="solver_typ" localSheetId="2" hidden="1">2</definedName>
    <definedName name="solver_val" localSheetId="0" hidden="1">0</definedName>
    <definedName name="solver_val" localSheetId="2" hidden="1">0</definedName>
    <definedName name="solver_ver" localSheetId="0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4" l="1" a="1"/>
  <c r="H19" i="4" s="1"/>
  <c r="H18" i="4" a="1"/>
  <c r="H18" i="4" s="1"/>
  <c r="G19" i="4" a="1"/>
  <c r="G19" i="4" s="1"/>
  <c r="F19" i="4" a="1"/>
  <c r="F19" i="4" s="1"/>
  <c r="F4" i="4" a="1"/>
  <c r="F4" i="4" s="1"/>
  <c r="I9" i="3"/>
  <c r="I7" i="3"/>
  <c r="I5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2" i="3"/>
  <c r="F2" i="3"/>
  <c r="I2" i="3"/>
  <c r="C5" i="2"/>
  <c r="I7" i="1"/>
  <c r="J7" i="1" s="1"/>
  <c r="K7" i="1" s="1"/>
  <c r="I8" i="1"/>
  <c r="J8" i="1" s="1"/>
  <c r="K8" i="1" s="1"/>
  <c r="I9" i="1"/>
  <c r="J9" i="1" s="1"/>
  <c r="K9" i="1" s="1"/>
  <c r="I10" i="1"/>
  <c r="J10" i="1" s="1"/>
  <c r="K10" i="1" s="1"/>
  <c r="I11" i="1"/>
  <c r="J11" i="1" s="1"/>
  <c r="K11" i="1" s="1"/>
  <c r="I12" i="1"/>
  <c r="J12" i="1" s="1"/>
  <c r="K12" i="1" s="1"/>
  <c r="I13" i="1"/>
  <c r="J13" i="1" s="1"/>
  <c r="K13" i="1" s="1"/>
  <c r="I14" i="1"/>
  <c r="J14" i="1" s="1"/>
  <c r="K14" i="1" s="1"/>
  <c r="I15" i="1"/>
  <c r="J15" i="1" s="1"/>
  <c r="K15" i="1" s="1"/>
  <c r="I16" i="1"/>
  <c r="J16" i="1" s="1"/>
  <c r="K16" i="1" s="1"/>
  <c r="I17" i="1"/>
  <c r="J17" i="1" s="1"/>
  <c r="K17" i="1" s="1"/>
  <c r="I18" i="1"/>
  <c r="J18" i="1" s="1"/>
  <c r="K18" i="1" s="1"/>
  <c r="I19" i="1"/>
  <c r="J19" i="1" s="1"/>
  <c r="K19" i="1" s="1"/>
  <c r="I20" i="1"/>
  <c r="J20" i="1" s="1"/>
  <c r="K20" i="1" s="1"/>
  <c r="I21" i="1"/>
  <c r="J21" i="1" s="1"/>
  <c r="K21" i="1" s="1"/>
  <c r="E2" i="1"/>
  <c r="D2" i="1"/>
  <c r="C2" i="1"/>
  <c r="B2" i="1"/>
  <c r="I6" i="1"/>
  <c r="J6" i="1" s="1"/>
  <c r="K6" i="1" s="1"/>
  <c r="G7" i="1"/>
  <c r="H7" i="1"/>
  <c r="G8" i="1"/>
  <c r="H8" i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/>
  <c r="G15" i="1"/>
  <c r="H15" i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6" i="1"/>
  <c r="H6" i="1" s="1"/>
  <c r="G4" i="4" l="1"/>
  <c r="G5" i="4"/>
  <c r="G6" i="4"/>
  <c r="G8" i="4"/>
  <c r="G9" i="4"/>
  <c r="G11" i="4"/>
  <c r="G12" i="4"/>
  <c r="G14" i="4"/>
  <c r="G7" i="4"/>
  <c r="G10" i="4"/>
  <c r="G13" i="4"/>
  <c r="L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<sst xmlns="http://schemas.openxmlformats.org/spreadsheetml/2006/main" count="72" uniqueCount="51">
  <si>
    <t>거래금액</t>
    <phoneticPr fontId="1" type="noConversion"/>
  </si>
  <si>
    <t>전용면적</t>
    <phoneticPr fontId="1" type="noConversion"/>
  </si>
  <si>
    <t>층</t>
    <phoneticPr fontId="1" type="noConversion"/>
  </si>
  <si>
    <t>년차</t>
    <phoneticPr fontId="1" type="noConversion"/>
  </si>
  <si>
    <t>요약 출력</t>
  </si>
  <si>
    <t>회귀분석 통계량</t>
  </si>
  <si>
    <t>다중 상관계수</t>
  </si>
  <si>
    <t>결정계수</t>
  </si>
  <si>
    <t>조정된 결정계수</t>
  </si>
  <si>
    <t>표준 오차</t>
  </si>
  <si>
    <t>관측수</t>
  </si>
  <si>
    <t>분산 분석</t>
  </si>
  <si>
    <t>회귀</t>
  </si>
  <si>
    <t>잔차</t>
  </si>
  <si>
    <t>계</t>
  </si>
  <si>
    <t>Y 절편</t>
  </si>
  <si>
    <t>자유도</t>
  </si>
  <si>
    <t>제곱합</t>
  </si>
  <si>
    <t>제곱 평균</t>
  </si>
  <si>
    <t>F 비</t>
  </si>
  <si>
    <t>유의한 F</t>
  </si>
  <si>
    <t>계수</t>
  </si>
  <si>
    <t>t 통계량</t>
  </si>
  <si>
    <t>P-값</t>
  </si>
  <si>
    <t>하위 95%</t>
  </si>
  <si>
    <t>상위 95%</t>
  </si>
  <si>
    <t>하위 95.0%</t>
  </si>
  <si>
    <t>상위 95.0%</t>
  </si>
  <si>
    <t>전용면적</t>
  </si>
  <si>
    <t>층</t>
  </si>
  <si>
    <t>년차</t>
  </si>
  <si>
    <t>잔차 출력</t>
  </si>
  <si>
    <t>예측치 거래금액</t>
  </si>
  <si>
    <t>절편</t>
    <phoneticPr fontId="1" type="noConversion"/>
  </si>
  <si>
    <t>회귀식계산</t>
    <phoneticPr fontId="1" type="noConversion"/>
  </si>
  <si>
    <t>지정값계산</t>
    <phoneticPr fontId="1" type="noConversion"/>
  </si>
  <si>
    <t>계산금액</t>
    <phoneticPr fontId="1" type="noConversion"/>
  </si>
  <si>
    <t>계산잔차</t>
    <phoneticPr fontId="1" type="noConversion"/>
  </si>
  <si>
    <t>지정금액</t>
    <phoneticPr fontId="1" type="noConversion"/>
  </si>
  <si>
    <t>지정잔차</t>
    <phoneticPr fontId="1" type="noConversion"/>
  </si>
  <si>
    <t>지정잔차제곱</t>
    <phoneticPr fontId="1" type="noConversion"/>
  </si>
  <si>
    <t>지정잔차제곱의 합</t>
    <phoneticPr fontId="1" type="noConversion"/>
  </si>
  <si>
    <t>(거래금액-평균)제곱</t>
    <phoneticPr fontId="1" type="noConversion"/>
  </si>
  <si>
    <t>(거래금액-회귀예측값)제곱</t>
    <phoneticPr fontId="1" type="noConversion"/>
  </si>
  <si>
    <t>거래금액평균</t>
    <phoneticPr fontId="1" type="noConversion"/>
  </si>
  <si>
    <t>SST</t>
    <phoneticPr fontId="1" type="noConversion"/>
  </si>
  <si>
    <t>SSE</t>
    <phoneticPr fontId="1" type="noConversion"/>
  </si>
  <si>
    <t>결정계수</t>
    <phoneticPr fontId="1" type="noConversion"/>
  </si>
  <si>
    <t>년차별 거래금액</t>
    <phoneticPr fontId="1" type="noConversion"/>
  </si>
  <si>
    <t>금액합계</t>
    <phoneticPr fontId="1" type="noConversion"/>
  </si>
  <si>
    <t>전용면적/년차별 금액 소계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</si>
</sst>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Continuous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3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EB903-F8DB-40C9-A6B5-49E173D51929}">
  <dimension ref="A1:R31"/>
  <sheetViews>
    <sheetView tabSelected="1" workbookViewId="0">
      <selection activeCell="M12" sqref="M12"/>
    </sheetView>
  </sheetViews>
  <sheetFormatPr defaultRowHeight="17" x14ac:dyDescent="0.45"/>
  <cols>
    <col min="1" max="1" width="10.4140625" bestFit="1" customWidth="1"/>
    <col min="2" max="3" width="12.33203125" bestFit="1" customWidth="1"/>
    <col min="4" max="4" width="13.1640625" bestFit="1" customWidth="1"/>
    <col min="6" max="6" width="15" bestFit="1" customWidth="1"/>
  </cols>
  <sheetData>
    <row r="1" spans="1:7" ht="17.5" thickBot="1" x14ac:dyDescent="0.5"/>
    <row r="2" spans="1:7" x14ac:dyDescent="0.45">
      <c r="A2" s="2" t="s">
        <v>0</v>
      </c>
      <c r="B2" s="2" t="s">
        <v>1</v>
      </c>
      <c r="C2" s="2" t="s">
        <v>2</v>
      </c>
      <c r="D2" s="2" t="s">
        <v>3</v>
      </c>
      <c r="F2" s="5" t="s">
        <v>48</v>
      </c>
    </row>
    <row r="3" spans="1:7" x14ac:dyDescent="0.45">
      <c r="A3">
        <v>80000</v>
      </c>
      <c r="B3">
        <v>84.82</v>
      </c>
      <c r="C3">
        <v>1</v>
      </c>
      <c r="D3">
        <v>19</v>
      </c>
      <c r="F3" s="6" t="s">
        <v>3</v>
      </c>
      <c r="G3" s="6" t="s">
        <v>49</v>
      </c>
    </row>
    <row r="4" spans="1:7" x14ac:dyDescent="0.45">
      <c r="A4">
        <v>209000</v>
      </c>
      <c r="B4">
        <v>163.33000000000001</v>
      </c>
      <c r="C4">
        <v>13</v>
      </c>
      <c r="D4">
        <v>13</v>
      </c>
      <c r="F4" s="6" cm="1">
        <f t="array" ref="F4:F14">_xlfn.UNIQUE(D3:D18)</f>
        <v>19</v>
      </c>
      <c r="G4" s="6">
        <f>SUMIF(D3:D18,F4,A3:A18)</f>
        <v>80000</v>
      </c>
    </row>
    <row r="5" spans="1:7" x14ac:dyDescent="0.45">
      <c r="A5">
        <v>160000</v>
      </c>
      <c r="B5">
        <v>158.99</v>
      </c>
      <c r="C5">
        <v>4</v>
      </c>
      <c r="D5">
        <v>13</v>
      </c>
      <c r="F5" s="6">
        <v>13</v>
      </c>
      <c r="G5" s="6">
        <f t="shared" ref="G5:G14" si="0">SUMIF(D4:D19,F5,A4:A19)</f>
        <v>465000</v>
      </c>
    </row>
    <row r="6" spans="1:7" x14ac:dyDescent="0.45">
      <c r="A6">
        <v>96000</v>
      </c>
      <c r="B6">
        <v>116.03</v>
      </c>
      <c r="C6">
        <v>5</v>
      </c>
      <c r="D6">
        <v>13</v>
      </c>
      <c r="F6" s="6">
        <v>18</v>
      </c>
      <c r="G6" s="6">
        <f t="shared" si="0"/>
        <v>32000</v>
      </c>
    </row>
    <row r="7" spans="1:7" x14ac:dyDescent="0.45">
      <c r="A7">
        <v>32000</v>
      </c>
      <c r="B7">
        <v>48.54</v>
      </c>
      <c r="C7">
        <v>7</v>
      </c>
      <c r="D7">
        <v>18</v>
      </c>
      <c r="F7" s="6">
        <v>7</v>
      </c>
      <c r="G7" s="6">
        <f t="shared" si="0"/>
        <v>39700</v>
      </c>
    </row>
    <row r="8" spans="1:7" x14ac:dyDescent="0.45">
      <c r="A8">
        <v>19700</v>
      </c>
      <c r="B8">
        <v>16.98</v>
      </c>
      <c r="C8">
        <v>4</v>
      </c>
      <c r="D8">
        <v>7</v>
      </c>
      <c r="F8" s="6">
        <v>26</v>
      </c>
      <c r="G8" s="6">
        <f t="shared" si="0"/>
        <v>120000</v>
      </c>
    </row>
    <row r="9" spans="1:7" x14ac:dyDescent="0.45">
      <c r="A9">
        <v>20000</v>
      </c>
      <c r="B9">
        <v>16.98</v>
      </c>
      <c r="C9">
        <v>12</v>
      </c>
      <c r="D9">
        <v>7</v>
      </c>
      <c r="F9" s="6">
        <v>15</v>
      </c>
      <c r="G9" s="6">
        <f t="shared" si="0"/>
        <v>84500</v>
      </c>
    </row>
    <row r="10" spans="1:7" x14ac:dyDescent="0.45">
      <c r="A10">
        <v>120000</v>
      </c>
      <c r="B10">
        <v>84.9</v>
      </c>
      <c r="C10">
        <v>7</v>
      </c>
      <c r="D10">
        <v>26</v>
      </c>
      <c r="F10" s="6">
        <v>28</v>
      </c>
      <c r="G10" s="6">
        <f t="shared" si="0"/>
        <v>67700</v>
      </c>
    </row>
    <row r="11" spans="1:7" x14ac:dyDescent="0.45">
      <c r="A11">
        <v>84500</v>
      </c>
      <c r="B11">
        <v>84.67</v>
      </c>
      <c r="C11">
        <v>12</v>
      </c>
      <c r="D11">
        <v>15</v>
      </c>
      <c r="F11" s="6">
        <v>17</v>
      </c>
      <c r="G11" s="6">
        <f t="shared" si="0"/>
        <v>127500</v>
      </c>
    </row>
    <row r="12" spans="1:7" x14ac:dyDescent="0.45">
      <c r="A12">
        <v>67700</v>
      </c>
      <c r="B12">
        <v>54.7</v>
      </c>
      <c r="C12">
        <v>3</v>
      </c>
      <c r="D12">
        <v>28</v>
      </c>
      <c r="F12" s="6">
        <v>9</v>
      </c>
      <c r="G12" s="6">
        <f t="shared" si="0"/>
        <v>11600</v>
      </c>
    </row>
    <row r="13" spans="1:7" x14ac:dyDescent="0.45">
      <c r="A13">
        <v>127500</v>
      </c>
      <c r="B13">
        <v>111.73</v>
      </c>
      <c r="C13">
        <v>17</v>
      </c>
      <c r="D13">
        <v>17</v>
      </c>
      <c r="F13" s="6">
        <v>8</v>
      </c>
      <c r="G13" s="6">
        <f t="shared" si="0"/>
        <v>38150</v>
      </c>
    </row>
    <row r="14" spans="1:7" x14ac:dyDescent="0.45">
      <c r="A14">
        <v>11600</v>
      </c>
      <c r="B14">
        <v>15</v>
      </c>
      <c r="C14">
        <v>7</v>
      </c>
      <c r="D14">
        <v>9</v>
      </c>
      <c r="F14" s="6">
        <v>4</v>
      </c>
      <c r="G14" s="6">
        <f t="shared" si="0"/>
        <v>197000</v>
      </c>
    </row>
    <row r="15" spans="1:7" x14ac:dyDescent="0.45">
      <c r="A15">
        <v>13000</v>
      </c>
      <c r="B15">
        <v>17.811</v>
      </c>
      <c r="C15">
        <v>5</v>
      </c>
      <c r="D15">
        <v>8</v>
      </c>
    </row>
    <row r="16" spans="1:7" x14ac:dyDescent="0.45">
      <c r="A16">
        <v>12500</v>
      </c>
      <c r="B16">
        <v>17.811</v>
      </c>
      <c r="C16">
        <v>6</v>
      </c>
      <c r="D16">
        <v>8</v>
      </c>
      <c r="F16" t="s">
        <v>50</v>
      </c>
    </row>
    <row r="17" spans="1:18" x14ac:dyDescent="0.45">
      <c r="A17">
        <v>12650</v>
      </c>
      <c r="B17">
        <v>17.811</v>
      </c>
      <c r="C17">
        <v>7</v>
      </c>
      <c r="D17">
        <v>8</v>
      </c>
      <c r="H17" t="s">
        <v>3</v>
      </c>
    </row>
    <row r="18" spans="1:18" ht="17.5" thickBot="1" x14ac:dyDescent="0.5">
      <c r="A18" s="1">
        <v>197000</v>
      </c>
      <c r="B18" s="1">
        <v>84.614000000000004</v>
      </c>
      <c r="C18" s="1">
        <v>5</v>
      </c>
      <c r="D18" s="1">
        <v>4</v>
      </c>
      <c r="F18" t="s">
        <v>3</v>
      </c>
      <c r="G18" t="s">
        <v>1</v>
      </c>
      <c r="H18" cm="1">
        <f t="array" ref="H18:R18">TRANSPOSE(_xlfn.ANCHORARRAY(F19))</f>
        <v>19</v>
      </c>
      <c r="I18">
        <v>13</v>
      </c>
      <c r="J18">
        <v>18</v>
      </c>
      <c r="K18">
        <v>7</v>
      </c>
      <c r="L18">
        <v>26</v>
      </c>
      <c r="M18">
        <v>15</v>
      </c>
      <c r="N18">
        <v>28</v>
      </c>
      <c r="O18">
        <v>17</v>
      </c>
      <c r="P18">
        <v>9</v>
      </c>
      <c r="Q18">
        <v>8</v>
      </c>
      <c r="R18">
        <v>4</v>
      </c>
    </row>
    <row r="19" spans="1:18" x14ac:dyDescent="0.45">
      <c r="F19" cm="1">
        <f t="array" ref="F19:F29">_xlfn.UNIQUE(D3:D18)</f>
        <v>19</v>
      </c>
      <c r="G19" cm="1">
        <f t="array" ref="G19:G31">_xlfn.UNIQUE(B3:B18)</f>
        <v>84.82</v>
      </c>
      <c r="H19" cm="1">
        <f t="array" ref="H19:R31">SUMIFS(A3:A18,B3:B18,G19:G31,D3:D18,H18:R18)</f>
        <v>80000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x14ac:dyDescent="0.45">
      <c r="F20">
        <v>13</v>
      </c>
      <c r="G20">
        <v>163.33000000000001</v>
      </c>
      <c r="H20">
        <v>0</v>
      </c>
      <c r="I20">
        <v>209000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45">
      <c r="F21">
        <v>18</v>
      </c>
      <c r="G21">
        <v>158.99</v>
      </c>
      <c r="H21">
        <v>0</v>
      </c>
      <c r="I21">
        <v>160000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45">
      <c r="F22">
        <v>7</v>
      </c>
      <c r="G22">
        <v>116.03</v>
      </c>
      <c r="H22">
        <v>0</v>
      </c>
      <c r="I22">
        <v>96000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x14ac:dyDescent="0.45">
      <c r="F23">
        <v>26</v>
      </c>
      <c r="G23">
        <v>48.54</v>
      </c>
      <c r="H23">
        <v>0</v>
      </c>
      <c r="I23">
        <v>0</v>
      </c>
      <c r="J23">
        <v>32000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45">
      <c r="F24">
        <v>15</v>
      </c>
      <c r="G24">
        <v>16.98</v>
      </c>
      <c r="H24">
        <v>0</v>
      </c>
      <c r="I24">
        <v>0</v>
      </c>
      <c r="J24">
        <v>0</v>
      </c>
      <c r="K24">
        <v>39700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45">
      <c r="F25">
        <v>28</v>
      </c>
      <c r="G25">
        <v>84.9</v>
      </c>
      <c r="H25">
        <v>0</v>
      </c>
      <c r="I25">
        <v>0</v>
      </c>
      <c r="J25">
        <v>0</v>
      </c>
      <c r="K25">
        <v>0</v>
      </c>
      <c r="L25">
        <v>120000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45">
      <c r="F26">
        <v>17</v>
      </c>
      <c r="G26">
        <v>84.67</v>
      </c>
      <c r="H26">
        <v>0</v>
      </c>
      <c r="I26">
        <v>0</v>
      </c>
      <c r="J26">
        <v>0</v>
      </c>
      <c r="K26">
        <v>0</v>
      </c>
      <c r="L26">
        <v>0</v>
      </c>
      <c r="M26">
        <v>84500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45">
      <c r="F27">
        <v>9</v>
      </c>
      <c r="G27">
        <v>54.7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67700</v>
      </c>
      <c r="O27">
        <v>0</v>
      </c>
      <c r="P27">
        <v>0</v>
      </c>
      <c r="Q27">
        <v>0</v>
      </c>
      <c r="R27">
        <v>0</v>
      </c>
    </row>
    <row r="28" spans="1:18" x14ac:dyDescent="0.45">
      <c r="F28">
        <v>8</v>
      </c>
      <c r="G28">
        <v>111.73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127500</v>
      </c>
      <c r="P28">
        <v>0</v>
      </c>
      <c r="Q28">
        <v>0</v>
      </c>
      <c r="R28">
        <v>0</v>
      </c>
    </row>
    <row r="29" spans="1:18" x14ac:dyDescent="0.45">
      <c r="F29">
        <v>4</v>
      </c>
      <c r="G29">
        <v>15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11600</v>
      </c>
      <c r="Q29">
        <v>0</v>
      </c>
      <c r="R29">
        <v>0</v>
      </c>
    </row>
    <row r="30" spans="1:18" x14ac:dyDescent="0.45">
      <c r="G30">
        <v>17.811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38150</v>
      </c>
      <c r="R30">
        <v>0</v>
      </c>
    </row>
    <row r="31" spans="1:18" x14ac:dyDescent="0.45">
      <c r="G31">
        <v>84.614000000000004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197000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41A70-B27A-43FD-BD55-B1BFEB2EEDC5}">
  <dimension ref="A1:I42"/>
  <sheetViews>
    <sheetView workbookViewId="0">
      <selection activeCell="C6" sqref="C6"/>
    </sheetView>
  </sheetViews>
  <sheetFormatPr defaultRowHeight="17" x14ac:dyDescent="0.45"/>
  <cols>
    <col min="1" max="2" width="15" bestFit="1" customWidth="1"/>
  </cols>
  <sheetData>
    <row r="1" spans="1:9" x14ac:dyDescent="0.45">
      <c r="A1" t="s">
        <v>4</v>
      </c>
    </row>
    <row r="2" spans="1:9" ht="17.5" thickBot="1" x14ac:dyDescent="0.5"/>
    <row r="3" spans="1:9" x14ac:dyDescent="0.45">
      <c r="A3" s="3" t="s">
        <v>5</v>
      </c>
      <c r="B3" s="3"/>
    </row>
    <row r="4" spans="1:9" x14ac:dyDescent="0.45">
      <c r="A4" t="s">
        <v>6</v>
      </c>
      <c r="B4">
        <v>0.89866774850453301</v>
      </c>
    </row>
    <row r="5" spans="1:9" x14ac:dyDescent="0.45">
      <c r="A5" t="s">
        <v>7</v>
      </c>
      <c r="B5">
        <v>0.80760372220220655</v>
      </c>
      <c r="C5">
        <f>1-C13/C14</f>
        <v>0.80760372220220655</v>
      </c>
    </row>
    <row r="6" spans="1:9" x14ac:dyDescent="0.45">
      <c r="A6" t="s">
        <v>8</v>
      </c>
      <c r="B6">
        <v>0.75950465275275825</v>
      </c>
    </row>
    <row r="7" spans="1:9" x14ac:dyDescent="0.45">
      <c r="A7" t="s">
        <v>9</v>
      </c>
      <c r="B7">
        <v>33211.554270108129</v>
      </c>
    </row>
    <row r="8" spans="1:9" ht="17.5" thickBot="1" x14ac:dyDescent="0.5">
      <c r="A8" s="1" t="s">
        <v>10</v>
      </c>
      <c r="B8" s="1">
        <v>16</v>
      </c>
    </row>
    <row r="10" spans="1:9" ht="17.5" thickBot="1" x14ac:dyDescent="0.5">
      <c r="A10" t="s">
        <v>11</v>
      </c>
    </row>
    <row r="11" spans="1:9" x14ac:dyDescent="0.45">
      <c r="A11" s="2"/>
      <c r="B11" s="2" t="s">
        <v>16</v>
      </c>
      <c r="C11" s="2" t="s">
        <v>17</v>
      </c>
      <c r="D11" s="2" t="s">
        <v>18</v>
      </c>
      <c r="E11" s="2" t="s">
        <v>19</v>
      </c>
      <c r="F11" s="2" t="s">
        <v>20</v>
      </c>
    </row>
    <row r="12" spans="1:9" x14ac:dyDescent="0.45">
      <c r="A12" t="s">
        <v>12</v>
      </c>
      <c r="B12">
        <v>3</v>
      </c>
      <c r="C12">
        <v>55559879299.31395</v>
      </c>
      <c r="D12">
        <v>18519959766.437984</v>
      </c>
      <c r="E12">
        <v>16.790423004981207</v>
      </c>
      <c r="F12">
        <v>1.3591217947305149E-4</v>
      </c>
    </row>
    <row r="13" spans="1:9" x14ac:dyDescent="0.45">
      <c r="A13" t="s">
        <v>13</v>
      </c>
      <c r="B13">
        <v>12</v>
      </c>
      <c r="C13">
        <v>13236088044.43605</v>
      </c>
      <c r="D13">
        <v>1103007337.0363376</v>
      </c>
    </row>
    <row r="14" spans="1:9" ht="17.5" thickBot="1" x14ac:dyDescent="0.5">
      <c r="A14" s="1" t="s">
        <v>14</v>
      </c>
      <c r="B14" s="1">
        <v>15</v>
      </c>
      <c r="C14" s="1">
        <v>68795967343.75</v>
      </c>
      <c r="D14" s="1"/>
      <c r="E14" s="1"/>
      <c r="F14" s="1"/>
    </row>
    <row r="15" spans="1:9" ht="17.5" thickBot="1" x14ac:dyDescent="0.5"/>
    <row r="16" spans="1:9" x14ac:dyDescent="0.45">
      <c r="A16" s="2"/>
      <c r="B16" s="2" t="s">
        <v>21</v>
      </c>
      <c r="C16" s="2" t="s">
        <v>9</v>
      </c>
      <c r="D16" s="2" t="s">
        <v>22</v>
      </c>
      <c r="E16" s="2" t="s">
        <v>23</v>
      </c>
      <c r="F16" s="2" t="s">
        <v>24</v>
      </c>
      <c r="G16" s="2" t="s">
        <v>25</v>
      </c>
      <c r="H16" s="2" t="s">
        <v>26</v>
      </c>
      <c r="I16" s="2" t="s">
        <v>27</v>
      </c>
    </row>
    <row r="17" spans="1:9" x14ac:dyDescent="0.45">
      <c r="A17" t="s">
        <v>15</v>
      </c>
      <c r="B17">
        <v>8683.8499435955018</v>
      </c>
      <c r="C17">
        <v>24344.702087664846</v>
      </c>
      <c r="D17">
        <v>0.35670389033002375</v>
      </c>
      <c r="E17">
        <v>0.72750704283786938</v>
      </c>
      <c r="F17">
        <v>-44358.699299435226</v>
      </c>
      <c r="G17">
        <v>61726.399186626229</v>
      </c>
      <c r="H17">
        <v>-44358.699299435226</v>
      </c>
      <c r="I17">
        <v>61726.399186626229</v>
      </c>
    </row>
    <row r="18" spans="1:9" x14ac:dyDescent="0.45">
      <c r="A18" t="s">
        <v>28</v>
      </c>
      <c r="B18">
        <v>1233.1817474969575</v>
      </c>
      <c r="C18">
        <v>183.09603146560113</v>
      </c>
      <c r="D18">
        <v>6.7351637150510255</v>
      </c>
      <c r="E18">
        <v>2.0878626059434226E-5</v>
      </c>
      <c r="F18">
        <v>834.24976507855126</v>
      </c>
      <c r="G18">
        <v>1632.1137299153638</v>
      </c>
      <c r="H18">
        <v>834.24976507855126</v>
      </c>
      <c r="I18">
        <v>1632.1137299153638</v>
      </c>
    </row>
    <row r="19" spans="1:9" x14ac:dyDescent="0.45">
      <c r="A19" t="s">
        <v>29</v>
      </c>
      <c r="B19">
        <v>77.785449499388719</v>
      </c>
      <c r="C19">
        <v>2094.4731784005194</v>
      </c>
      <c r="D19">
        <v>3.7138431898560247E-2</v>
      </c>
      <c r="E19">
        <v>0.9709853010112488</v>
      </c>
      <c r="F19">
        <v>-4485.6795829935609</v>
      </c>
      <c r="G19">
        <v>4641.2504819923388</v>
      </c>
      <c r="H19">
        <v>-4485.6795829935609</v>
      </c>
      <c r="I19">
        <v>4641.2504819923388</v>
      </c>
    </row>
    <row r="20" spans="1:9" ht="17.5" thickBot="1" x14ac:dyDescent="0.5">
      <c r="A20" s="1" t="s">
        <v>30</v>
      </c>
      <c r="B20" s="1">
        <v>-1101.9809805849045</v>
      </c>
      <c r="C20" s="1">
        <v>1318.2566685050695</v>
      </c>
      <c r="D20" s="1">
        <v>-0.83593810440160632</v>
      </c>
      <c r="E20" s="1">
        <v>0.41952385657693136</v>
      </c>
      <c r="F20" s="1">
        <v>-3974.2155227181283</v>
      </c>
      <c r="G20" s="1">
        <v>1770.2535615483193</v>
      </c>
      <c r="H20" s="1">
        <v>-3974.2155227181283</v>
      </c>
      <c r="I20" s="1">
        <v>1770.2535615483193</v>
      </c>
    </row>
    <row r="24" spans="1:9" x14ac:dyDescent="0.45">
      <c r="A24" t="s">
        <v>31</v>
      </c>
    </row>
    <row r="25" spans="1:9" ht="17.5" thickBot="1" x14ac:dyDescent="0.5"/>
    <row r="26" spans="1:9" x14ac:dyDescent="0.45">
      <c r="A26" s="2" t="s">
        <v>10</v>
      </c>
      <c r="B26" s="2" t="s">
        <v>32</v>
      </c>
      <c r="C26" s="2" t="s">
        <v>13</v>
      </c>
    </row>
    <row r="27" spans="1:9" x14ac:dyDescent="0.45">
      <c r="A27">
        <v>1</v>
      </c>
      <c r="B27">
        <v>92422.47258467364</v>
      </c>
      <c r="C27">
        <v>-12422.47258467364</v>
      </c>
    </row>
    <row r="28" spans="1:9" x14ac:dyDescent="0.45">
      <c r="A28">
        <v>2</v>
      </c>
      <c r="B28">
        <v>196784.8828581619</v>
      </c>
      <c r="C28">
        <v>12215.117141838098</v>
      </c>
    </row>
    <row r="29" spans="1:9" x14ac:dyDescent="0.45">
      <c r="A29">
        <v>3</v>
      </c>
      <c r="B29">
        <v>190732.80502853059</v>
      </c>
      <c r="C29">
        <v>-30732.805028530594</v>
      </c>
    </row>
    <row r="30" spans="1:9" x14ac:dyDescent="0.45">
      <c r="A30">
        <v>4</v>
      </c>
      <c r="B30">
        <v>137833.10260556068</v>
      </c>
      <c r="C30">
        <v>-41833.102605560678</v>
      </c>
    </row>
    <row r="31" spans="1:9" x14ac:dyDescent="0.45">
      <c r="A31">
        <v>5</v>
      </c>
      <c r="B31">
        <v>49251.332463065271</v>
      </c>
      <c r="C31">
        <v>-17251.332463065271</v>
      </c>
    </row>
    <row r="32" spans="1:9" x14ac:dyDescent="0.45">
      <c r="A32">
        <v>6</v>
      </c>
      <c r="B32">
        <v>22220.550949997065</v>
      </c>
      <c r="C32">
        <v>-2520.5509499970649</v>
      </c>
    </row>
    <row r="33" spans="1:3" x14ac:dyDescent="0.45">
      <c r="A33">
        <v>7</v>
      </c>
      <c r="B33">
        <v>22842.834545992173</v>
      </c>
      <c r="C33">
        <v>-2842.8345459921729</v>
      </c>
    </row>
    <row r="34" spans="1:3" x14ac:dyDescent="0.45">
      <c r="A34">
        <v>8</v>
      </c>
      <c r="B34">
        <v>85273.972957375416</v>
      </c>
      <c r="C34">
        <v>34726.027042624584</v>
      </c>
    </row>
    <row r="35" spans="1:3" x14ac:dyDescent="0.45">
      <c r="A35">
        <v>9</v>
      </c>
      <c r="B35">
        <v>97501.059189382009</v>
      </c>
      <c r="C35">
        <v>-13001.059189382009</v>
      </c>
    </row>
    <row r="36" spans="1:3" x14ac:dyDescent="0.45">
      <c r="A36">
        <v>10</v>
      </c>
      <c r="B36">
        <v>45516.780423799923</v>
      </c>
      <c r="C36">
        <v>22183.219576200077</v>
      </c>
    </row>
    <row r="37" spans="1:3" x14ac:dyDescent="0.45">
      <c r="A37">
        <v>11</v>
      </c>
      <c r="B37">
        <v>129055.9225629768</v>
      </c>
      <c r="C37">
        <v>-1555.9225629768043</v>
      </c>
    </row>
    <row r="38" spans="1:3" x14ac:dyDescent="0.45">
      <c r="A38">
        <v>12</v>
      </c>
      <c r="B38">
        <v>17808.245477281445</v>
      </c>
      <c r="C38">
        <v>-6208.2454772814453</v>
      </c>
    </row>
    <row r="39" spans="1:3" x14ac:dyDescent="0.45">
      <c r="A39">
        <v>13</v>
      </c>
      <c r="B39">
        <v>22221.129451081521</v>
      </c>
      <c r="C39">
        <v>-9221.1294510815205</v>
      </c>
    </row>
    <row r="40" spans="1:3" x14ac:dyDescent="0.45">
      <c r="A40">
        <v>14</v>
      </c>
      <c r="B40">
        <v>22298.914900580909</v>
      </c>
      <c r="C40">
        <v>-9798.9149005809086</v>
      </c>
    </row>
    <row r="41" spans="1:3" x14ac:dyDescent="0.45">
      <c r="A41">
        <v>15</v>
      </c>
      <c r="B41">
        <v>22376.700350080297</v>
      </c>
      <c r="C41">
        <v>-9726.7003500802966</v>
      </c>
    </row>
    <row r="42" spans="1:3" ht="17.5" thickBot="1" x14ac:dyDescent="0.5">
      <c r="A42" s="1">
        <v>16</v>
      </c>
      <c r="B42" s="1">
        <v>109009.29365146041</v>
      </c>
      <c r="C42" s="1">
        <v>87990.706348539592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0404A-591C-4C90-96B3-1BA0A1E45CD5}">
  <dimension ref="A1:L21"/>
  <sheetViews>
    <sheetView workbookViewId="0">
      <selection activeCell="A5" sqref="A5:E20"/>
    </sheetView>
  </sheetViews>
  <sheetFormatPr defaultRowHeight="17" x14ac:dyDescent="0.45"/>
  <cols>
    <col min="1" max="1" width="10.4140625" bestFit="1" customWidth="1"/>
    <col min="2" max="3" width="12.33203125" bestFit="1" customWidth="1"/>
    <col min="4" max="4" width="13.1640625" bestFit="1" customWidth="1"/>
    <col min="5" max="5" width="15" bestFit="1" customWidth="1"/>
    <col min="6" max="6" width="13.1640625" bestFit="1" customWidth="1"/>
    <col min="7" max="7" width="12.33203125" bestFit="1" customWidth="1"/>
    <col min="8" max="8" width="13.1640625" bestFit="1" customWidth="1"/>
    <col min="9" max="9" width="12.33203125" bestFit="1" customWidth="1"/>
    <col min="10" max="10" width="13.1640625" bestFit="1" customWidth="1"/>
    <col min="11" max="11" width="12.33203125" bestFit="1" customWidth="1"/>
    <col min="12" max="12" width="17" bestFit="1" customWidth="1"/>
  </cols>
  <sheetData>
    <row r="1" spans="1:12" x14ac:dyDescent="0.45">
      <c r="B1" t="s">
        <v>1</v>
      </c>
      <c r="C1" t="s">
        <v>2</v>
      </c>
      <c r="D1" t="s">
        <v>3</v>
      </c>
      <c r="E1" t="s">
        <v>33</v>
      </c>
    </row>
    <row r="2" spans="1:12" x14ac:dyDescent="0.45">
      <c r="A2" t="s">
        <v>34</v>
      </c>
      <c r="B2">
        <f>회귀분석결과!B18</f>
        <v>1233.1817474969575</v>
      </c>
      <c r="C2">
        <f>회귀분석결과!B19</f>
        <v>77.785449499388719</v>
      </c>
      <c r="D2">
        <f>회귀분석결과!B20</f>
        <v>-1101.9809805849045</v>
      </c>
      <c r="E2">
        <f>회귀분석결과!B17</f>
        <v>8683.8499435955018</v>
      </c>
    </row>
    <row r="3" spans="1:12" x14ac:dyDescent="0.45">
      <c r="A3" t="s">
        <v>35</v>
      </c>
      <c r="B3">
        <v>1233.1785684503432</v>
      </c>
      <c r="C3">
        <v>77.795305759467595</v>
      </c>
      <c r="D3">
        <v>-1101.9740734847874</v>
      </c>
      <c r="E3">
        <v>8683.9487931804069</v>
      </c>
    </row>
    <row r="4" spans="1:12" ht="17.5" thickBot="1" x14ac:dyDescent="0.5"/>
    <row r="5" spans="1:12" x14ac:dyDescent="0.45">
      <c r="A5" s="2" t="s">
        <v>0</v>
      </c>
      <c r="B5" s="2" t="s">
        <v>1</v>
      </c>
      <c r="C5" s="2" t="s">
        <v>2</v>
      </c>
      <c r="D5" s="2" t="s">
        <v>3</v>
      </c>
      <c r="E5" s="2" t="s">
        <v>32</v>
      </c>
      <c r="F5" s="2" t="s">
        <v>13</v>
      </c>
      <c r="G5" s="2" t="s">
        <v>36</v>
      </c>
      <c r="H5" s="2" t="s">
        <v>37</v>
      </c>
      <c r="I5" s="2" t="s">
        <v>38</v>
      </c>
      <c r="J5" s="2" t="s">
        <v>39</v>
      </c>
      <c r="K5" s="2" t="s">
        <v>40</v>
      </c>
      <c r="L5" s="2" t="s">
        <v>41</v>
      </c>
    </row>
    <row r="6" spans="1:12" x14ac:dyDescent="0.45">
      <c r="A6">
        <v>80000</v>
      </c>
      <c r="B6">
        <v>84.82</v>
      </c>
      <c r="C6">
        <v>1</v>
      </c>
      <c r="D6">
        <v>19</v>
      </c>
      <c r="E6">
        <v>92422.47258467364</v>
      </c>
      <c r="F6">
        <v>-12422.47258467364</v>
      </c>
      <c r="G6">
        <f>$B$6*B6+$C$6*C6+$D$6*D6+$E$6</f>
        <v>99978.904984673645</v>
      </c>
      <c r="H6">
        <f>A6-G6</f>
        <v>-19978.904984673645</v>
      </c>
      <c r="I6">
        <f>$B$3*B6+$C$3*C6+$D$3*D6+$E$3</f>
        <v>92422.442878687012</v>
      </c>
      <c r="J6">
        <f>A6-I6</f>
        <v>-12422.442878687012</v>
      </c>
      <c r="K6">
        <f>J6^2</f>
        <v>154317087.07424167</v>
      </c>
      <c r="L6">
        <f>SUM(K6:K323)</f>
        <v>13236088044.800426</v>
      </c>
    </row>
    <row r="7" spans="1:12" x14ac:dyDescent="0.45">
      <c r="A7">
        <v>209000</v>
      </c>
      <c r="B7">
        <v>163.33000000000001</v>
      </c>
      <c r="C7">
        <v>13</v>
      </c>
      <c r="D7">
        <v>13</v>
      </c>
      <c r="E7">
        <v>196784.8828581619</v>
      </c>
      <c r="F7">
        <v>12215.117141838098</v>
      </c>
      <c r="G7">
        <f t="shared" ref="G7:G21" si="0">$B$6*B7+$C$6*C7+$D$6*D7+$E$6</f>
        <v>106536.12318467363</v>
      </c>
      <c r="H7">
        <f t="shared" ref="H7:H21" si="1">A7-G7</f>
        <v>102463.87681532637</v>
      </c>
      <c r="I7">
        <f t="shared" ref="I7:I21" si="2">$B$3*B7+$C$3*C7+$D$3*D7+$E$3</f>
        <v>196784.6803977458</v>
      </c>
      <c r="J7">
        <f t="shared" ref="J7:J21" si="3">A7-I7</f>
        <v>12215.319602254196</v>
      </c>
      <c r="K7">
        <f t="shared" ref="K7:K21" si="4">J7^2</f>
        <v>149214032.9852156</v>
      </c>
    </row>
    <row r="8" spans="1:12" x14ac:dyDescent="0.45">
      <c r="A8">
        <v>160000</v>
      </c>
      <c r="B8">
        <v>158.99</v>
      </c>
      <c r="C8">
        <v>4</v>
      </c>
      <c r="D8">
        <v>13</v>
      </c>
      <c r="E8">
        <v>190732.80502853059</v>
      </c>
      <c r="F8">
        <v>-30732.805028530594</v>
      </c>
      <c r="G8">
        <f t="shared" si="0"/>
        <v>106159.00438467364</v>
      </c>
      <c r="H8">
        <f t="shared" si="1"/>
        <v>53840.995615326363</v>
      </c>
      <c r="I8">
        <f t="shared" si="2"/>
        <v>190732.5276588361</v>
      </c>
      <c r="J8">
        <f t="shared" si="3"/>
        <v>-30732.527658836101</v>
      </c>
      <c r="K8">
        <f t="shared" si="4"/>
        <v>944488256.301126</v>
      </c>
    </row>
    <row r="9" spans="1:12" x14ac:dyDescent="0.45">
      <c r="A9">
        <v>96000</v>
      </c>
      <c r="B9">
        <v>116.03</v>
      </c>
      <c r="C9">
        <v>5</v>
      </c>
      <c r="D9">
        <v>13</v>
      </c>
      <c r="E9">
        <v>137833.10260556068</v>
      </c>
      <c r="F9">
        <v>-41833.102605560678</v>
      </c>
      <c r="G9">
        <f t="shared" si="0"/>
        <v>102516.13718467364</v>
      </c>
      <c r="H9">
        <f t="shared" si="1"/>
        <v>-6516.1371846736438</v>
      </c>
      <c r="I9">
        <f t="shared" si="2"/>
        <v>137832.97166396884</v>
      </c>
      <c r="J9">
        <f t="shared" si="3"/>
        <v>-41832.971663968841</v>
      </c>
      <c r="K9">
        <f t="shared" si="4"/>
        <v>1749997518.23842</v>
      </c>
    </row>
    <row r="10" spans="1:12" x14ac:dyDescent="0.45">
      <c r="A10">
        <v>32000</v>
      </c>
      <c r="B10">
        <v>48.54</v>
      </c>
      <c r="C10">
        <v>7</v>
      </c>
      <c r="D10">
        <v>18</v>
      </c>
      <c r="E10">
        <v>49251.332463065271</v>
      </c>
      <c r="F10">
        <v>-17251.332463065271</v>
      </c>
      <c r="G10">
        <f t="shared" si="0"/>
        <v>96888.635384673646</v>
      </c>
      <c r="H10">
        <f t="shared" si="1"/>
        <v>-64888.635384673646</v>
      </c>
      <c r="I10">
        <f t="shared" si="2"/>
        <v>49251.470323350164</v>
      </c>
      <c r="J10">
        <f t="shared" si="3"/>
        <v>-17251.470323350164</v>
      </c>
      <c r="K10">
        <f t="shared" si="4"/>
        <v>297613228.31743139</v>
      </c>
    </row>
    <row r="11" spans="1:12" x14ac:dyDescent="0.45">
      <c r="A11">
        <v>19700</v>
      </c>
      <c r="B11">
        <v>16.98</v>
      </c>
      <c r="C11">
        <v>4</v>
      </c>
      <c r="D11">
        <v>7</v>
      </c>
      <c r="E11">
        <v>22220.550949997065</v>
      </c>
      <c r="F11">
        <v>-2520.5509499970649</v>
      </c>
      <c r="G11">
        <f t="shared" si="0"/>
        <v>93999.716184673642</v>
      </c>
      <c r="H11">
        <f t="shared" si="1"/>
        <v>-74299.716184673642</v>
      </c>
      <c r="I11">
        <f t="shared" si="2"/>
        <v>22220.683594111593</v>
      </c>
      <c r="J11">
        <f t="shared" si="3"/>
        <v>-2520.6835941115933</v>
      </c>
      <c r="K11">
        <f t="shared" si="4"/>
        <v>6353845.7816233393</v>
      </c>
    </row>
    <row r="12" spans="1:12" x14ac:dyDescent="0.45">
      <c r="A12">
        <v>20000</v>
      </c>
      <c r="B12">
        <v>16.98</v>
      </c>
      <c r="C12">
        <v>12</v>
      </c>
      <c r="D12">
        <v>7</v>
      </c>
      <c r="E12">
        <v>22842.834545992173</v>
      </c>
      <c r="F12">
        <v>-2842.8345459921729</v>
      </c>
      <c r="G12">
        <f t="shared" si="0"/>
        <v>94007.716184673642</v>
      </c>
      <c r="H12">
        <f t="shared" si="1"/>
        <v>-74007.716184673642</v>
      </c>
      <c r="I12">
        <f t="shared" si="2"/>
        <v>22843.046040187335</v>
      </c>
      <c r="J12">
        <f t="shared" si="3"/>
        <v>-2843.0460401873352</v>
      </c>
      <c r="K12">
        <f t="shared" si="4"/>
        <v>8082910.786624887</v>
      </c>
    </row>
    <row r="13" spans="1:12" x14ac:dyDescent="0.45">
      <c r="A13">
        <v>120000</v>
      </c>
      <c r="B13">
        <v>84.9</v>
      </c>
      <c r="C13">
        <v>7</v>
      </c>
      <c r="D13">
        <v>26</v>
      </c>
      <c r="E13">
        <v>85273.972957375416</v>
      </c>
      <c r="F13">
        <v>34726.027042624584</v>
      </c>
      <c r="G13">
        <f t="shared" si="0"/>
        <v>100124.69058467363</v>
      </c>
      <c r="H13">
        <f t="shared" si="1"/>
        <v>19875.309415326366</v>
      </c>
      <c r="I13">
        <f t="shared" si="2"/>
        <v>85274.050484326348</v>
      </c>
      <c r="J13">
        <f t="shared" si="3"/>
        <v>34725.949515673652</v>
      </c>
      <c r="K13">
        <f t="shared" si="4"/>
        <v>1205891569.7651153</v>
      </c>
    </row>
    <row r="14" spans="1:12" x14ac:dyDescent="0.45">
      <c r="A14">
        <v>84500</v>
      </c>
      <c r="B14">
        <v>84.67</v>
      </c>
      <c r="C14">
        <v>12</v>
      </c>
      <c r="D14">
        <v>15</v>
      </c>
      <c r="E14">
        <v>97501.059189382009</v>
      </c>
      <c r="F14">
        <v>-13001.059189382009</v>
      </c>
      <c r="G14">
        <f t="shared" si="0"/>
        <v>99901.181984673633</v>
      </c>
      <c r="H14">
        <f t="shared" si="1"/>
        <v>-15401.181984673633</v>
      </c>
      <c r="I14">
        <f t="shared" si="2"/>
        <v>97501.11075071276</v>
      </c>
      <c r="J14">
        <f t="shared" si="3"/>
        <v>-13001.11075071276</v>
      </c>
      <c r="K14">
        <f t="shared" si="4"/>
        <v>169028880.75229889</v>
      </c>
    </row>
    <row r="15" spans="1:12" x14ac:dyDescent="0.45">
      <c r="A15">
        <v>67700</v>
      </c>
      <c r="B15">
        <v>54.7</v>
      </c>
      <c r="C15">
        <v>3</v>
      </c>
      <c r="D15">
        <v>28</v>
      </c>
      <c r="E15">
        <v>45516.780423799923</v>
      </c>
      <c r="F15">
        <v>22183.219576200077</v>
      </c>
      <c r="G15">
        <f t="shared" si="0"/>
        <v>97597.126584673635</v>
      </c>
      <c r="H15">
        <f t="shared" si="1"/>
        <v>-29897.126584673635</v>
      </c>
      <c r="I15">
        <f t="shared" si="2"/>
        <v>45516.928347118534</v>
      </c>
      <c r="J15">
        <f t="shared" si="3"/>
        <v>22183.071652881466</v>
      </c>
      <c r="K15">
        <f t="shared" si="4"/>
        <v>492088667.9568733</v>
      </c>
    </row>
    <row r="16" spans="1:12" x14ac:dyDescent="0.45">
      <c r="A16">
        <v>127500</v>
      </c>
      <c r="B16">
        <v>111.73</v>
      </c>
      <c r="C16">
        <v>17</v>
      </c>
      <c r="D16">
        <v>17</v>
      </c>
      <c r="E16">
        <v>129055.9225629768</v>
      </c>
      <c r="F16">
        <v>-1555.9225629768043</v>
      </c>
      <c r="G16">
        <f t="shared" si="0"/>
        <v>102239.41118467363</v>
      </c>
      <c r="H16">
        <f t="shared" si="1"/>
        <v>25260.588815326366</v>
      </c>
      <c r="I16">
        <f t="shared" si="2"/>
        <v>129055.95119480682</v>
      </c>
      <c r="J16">
        <f t="shared" si="3"/>
        <v>-1555.9511948068248</v>
      </c>
      <c r="K16">
        <f t="shared" si="4"/>
        <v>2420984.1206207857</v>
      </c>
    </row>
    <row r="17" spans="1:12" x14ac:dyDescent="0.45">
      <c r="A17">
        <v>11600</v>
      </c>
      <c r="B17">
        <v>15</v>
      </c>
      <c r="C17">
        <v>7</v>
      </c>
      <c r="D17">
        <v>9</v>
      </c>
      <c r="E17">
        <v>17808.245477281445</v>
      </c>
      <c r="F17">
        <v>-6208.2454772814453</v>
      </c>
      <c r="G17">
        <f t="shared" si="0"/>
        <v>93872.772584673643</v>
      </c>
      <c r="H17">
        <f t="shared" si="1"/>
        <v>-82272.772584673643</v>
      </c>
      <c r="I17">
        <f t="shared" si="2"/>
        <v>17808.427798888741</v>
      </c>
      <c r="J17">
        <f t="shared" si="3"/>
        <v>-6208.4277988887407</v>
      </c>
      <c r="K17">
        <f t="shared" si="4"/>
        <v>38544575.734014496</v>
      </c>
    </row>
    <row r="18" spans="1:12" x14ac:dyDescent="0.45">
      <c r="A18">
        <v>13000</v>
      </c>
      <c r="B18">
        <v>17.811</v>
      </c>
      <c r="C18">
        <v>5</v>
      </c>
      <c r="D18">
        <v>8</v>
      </c>
      <c r="E18">
        <v>22221.129451081521</v>
      </c>
      <c r="F18">
        <v>-9221.1294510815205</v>
      </c>
      <c r="G18">
        <f t="shared" si="0"/>
        <v>94090.201604673639</v>
      </c>
      <c r="H18">
        <f t="shared" si="1"/>
        <v>-81090.201604673639</v>
      </c>
      <c r="I18">
        <f t="shared" si="2"/>
        <v>22221.27621676851</v>
      </c>
      <c r="J18">
        <f t="shared" si="3"/>
        <v>-9221.2762167685105</v>
      </c>
      <c r="K18">
        <f t="shared" si="4"/>
        <v>85031935.065940574</v>
      </c>
    </row>
    <row r="19" spans="1:12" x14ac:dyDescent="0.45">
      <c r="A19">
        <v>12500</v>
      </c>
      <c r="B19">
        <v>17.811</v>
      </c>
      <c r="C19">
        <v>6</v>
      </c>
      <c r="D19">
        <v>8</v>
      </c>
      <c r="E19">
        <v>22298.914900580909</v>
      </c>
      <c r="F19">
        <v>-9798.9149005809086</v>
      </c>
      <c r="G19">
        <f t="shared" si="0"/>
        <v>94091.201604673639</v>
      </c>
      <c r="H19">
        <f t="shared" si="1"/>
        <v>-81591.201604673639</v>
      </c>
      <c r="I19">
        <f t="shared" si="2"/>
        <v>22299.071522527978</v>
      </c>
      <c r="J19">
        <f t="shared" si="3"/>
        <v>-9799.0715225279782</v>
      </c>
      <c r="K19">
        <f t="shared" si="4"/>
        <v>96021802.703618795</v>
      </c>
    </row>
    <row r="20" spans="1:12" x14ac:dyDescent="0.45">
      <c r="A20">
        <v>12650</v>
      </c>
      <c r="B20">
        <v>17.811</v>
      </c>
      <c r="C20">
        <v>7</v>
      </c>
      <c r="D20">
        <v>8</v>
      </c>
      <c r="E20">
        <v>22376.700350080297</v>
      </c>
      <c r="F20">
        <v>-9726.7003500802966</v>
      </c>
      <c r="G20">
        <f t="shared" si="0"/>
        <v>94092.201604673639</v>
      </c>
      <c r="H20">
        <f t="shared" si="1"/>
        <v>-81442.201604673639</v>
      </c>
      <c r="I20">
        <f t="shared" si="2"/>
        <v>22376.866828287446</v>
      </c>
      <c r="J20">
        <f t="shared" si="3"/>
        <v>-9726.866828287446</v>
      </c>
      <c r="K20">
        <f t="shared" si="4"/>
        <v>94611938.295238674</v>
      </c>
    </row>
    <row r="21" spans="1:12" ht="17.5" thickBot="1" x14ac:dyDescent="0.5">
      <c r="A21" s="1">
        <v>197000</v>
      </c>
      <c r="B21" s="1">
        <v>84.614000000000004</v>
      </c>
      <c r="C21" s="1">
        <v>5</v>
      </c>
      <c r="D21" s="1">
        <v>4</v>
      </c>
      <c r="E21" s="1">
        <v>109009.29365146041</v>
      </c>
      <c r="F21" s="1">
        <v>87990.706348539592</v>
      </c>
      <c r="G21" s="1">
        <f t="shared" si="0"/>
        <v>99680.432064673645</v>
      </c>
      <c r="H21" s="1">
        <f t="shared" si="1"/>
        <v>97319.567935326355</v>
      </c>
      <c r="I21" s="1">
        <f t="shared" si="2"/>
        <v>109009.20041889594</v>
      </c>
      <c r="J21" s="1">
        <f t="shared" si="3"/>
        <v>87990.79958110406</v>
      </c>
      <c r="K21" s="1">
        <f t="shared" si="4"/>
        <v>7742380810.9220228</v>
      </c>
      <c r="L21" s="1"/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E65E4-2A26-4490-BCE9-0F7A7CE60A50}">
  <dimension ref="A1:I16"/>
  <sheetViews>
    <sheetView workbookViewId="0">
      <selection activeCell="K14" sqref="K14"/>
    </sheetView>
  </sheetViews>
  <sheetFormatPr defaultRowHeight="17" x14ac:dyDescent="0.45"/>
  <cols>
    <col min="5" max="5" width="15" bestFit="1" customWidth="1"/>
    <col min="6" max="6" width="18.33203125" bestFit="1" customWidth="1"/>
    <col min="7" max="7" width="24.25" bestFit="1" customWidth="1"/>
    <col min="9" max="9" width="12.33203125" bestFit="1" customWidth="1"/>
  </cols>
  <sheetData>
    <row r="1" spans="1:9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32</v>
      </c>
      <c r="F1" s="4" t="s">
        <v>42</v>
      </c>
      <c r="G1" s="4" t="s">
        <v>43</v>
      </c>
      <c r="I1" s="4" t="s">
        <v>44</v>
      </c>
    </row>
    <row r="2" spans="1:9" x14ac:dyDescent="0.45">
      <c r="A2">
        <v>80000</v>
      </c>
      <c r="B2">
        <v>84.82</v>
      </c>
      <c r="C2">
        <v>1</v>
      </c>
      <c r="D2">
        <v>19</v>
      </c>
      <c r="E2">
        <v>92422.47258467364</v>
      </c>
      <c r="F2">
        <f>(A2-$I$2)^2</f>
        <v>79625877.777777687</v>
      </c>
      <c r="G2">
        <f>(A2-E2)^2</f>
        <v>154317825.11696818</v>
      </c>
      <c r="I2">
        <f>AVERAGE(A2:A17)</f>
        <v>71076.666666666672</v>
      </c>
    </row>
    <row r="3" spans="1:9" x14ac:dyDescent="0.45">
      <c r="A3">
        <v>209000</v>
      </c>
      <c r="B3">
        <v>163.33000000000001</v>
      </c>
      <c r="C3">
        <v>13</v>
      </c>
      <c r="D3">
        <v>13</v>
      </c>
      <c r="E3">
        <v>196784.8828581619</v>
      </c>
      <c r="F3">
        <f t="shared" ref="F3:F16" si="0">(A3-$I$2)^2</f>
        <v>19022845877.777771</v>
      </c>
      <c r="G3">
        <f t="shared" ref="G3:G16" si="1">(A3-E3)^2</f>
        <v>149209086.78882694</v>
      </c>
    </row>
    <row r="4" spans="1:9" x14ac:dyDescent="0.45">
      <c r="A4">
        <v>160000</v>
      </c>
      <c r="B4">
        <v>158.99</v>
      </c>
      <c r="C4">
        <v>4</v>
      </c>
      <c r="D4">
        <v>13</v>
      </c>
      <c r="E4">
        <v>190732.80502853059</v>
      </c>
      <c r="F4">
        <f t="shared" si="0"/>
        <v>7907359211.1111107</v>
      </c>
      <c r="G4">
        <f t="shared" si="1"/>
        <v>944505304.92167544</v>
      </c>
      <c r="I4" t="s">
        <v>45</v>
      </c>
    </row>
    <row r="5" spans="1:9" x14ac:dyDescent="0.45">
      <c r="A5">
        <v>96000</v>
      </c>
      <c r="B5">
        <v>116.03</v>
      </c>
      <c r="C5">
        <v>5</v>
      </c>
      <c r="D5">
        <v>13</v>
      </c>
      <c r="E5">
        <v>137833.10260556068</v>
      </c>
      <c r="F5">
        <f t="shared" si="0"/>
        <v>621172544.44444418</v>
      </c>
      <c r="G5">
        <f t="shared" si="1"/>
        <v>1750008473.6073675</v>
      </c>
      <c r="I5">
        <f>SUM(F2:F17)</f>
        <v>53930324333.333328</v>
      </c>
    </row>
    <row r="6" spans="1:9" x14ac:dyDescent="0.45">
      <c r="A6">
        <v>32000</v>
      </c>
      <c r="B6">
        <v>48.54</v>
      </c>
      <c r="C6">
        <v>7</v>
      </c>
      <c r="D6">
        <v>18</v>
      </c>
      <c r="E6">
        <v>49251.332463065271</v>
      </c>
      <c r="F6">
        <f t="shared" si="0"/>
        <v>1526985877.7777781</v>
      </c>
      <c r="G6">
        <f t="shared" si="1"/>
        <v>297608471.75120968</v>
      </c>
      <c r="I6" t="s">
        <v>46</v>
      </c>
    </row>
    <row r="7" spans="1:9" x14ac:dyDescent="0.45">
      <c r="A7">
        <v>19700</v>
      </c>
      <c r="B7">
        <v>16.98</v>
      </c>
      <c r="C7">
        <v>4</v>
      </c>
      <c r="D7">
        <v>7</v>
      </c>
      <c r="E7">
        <v>22220.550949997065</v>
      </c>
      <c r="F7">
        <f t="shared" si="0"/>
        <v>2639561877.7777781</v>
      </c>
      <c r="G7">
        <f t="shared" si="1"/>
        <v>6353177.0915311063</v>
      </c>
      <c r="I7">
        <f>SUM(G2:G17)</f>
        <v>5493723640.7211285</v>
      </c>
    </row>
    <row r="8" spans="1:9" x14ac:dyDescent="0.45">
      <c r="A8">
        <v>20000</v>
      </c>
      <c r="B8">
        <v>16.98</v>
      </c>
      <c r="C8">
        <v>12</v>
      </c>
      <c r="D8">
        <v>7</v>
      </c>
      <c r="E8">
        <v>22842.834545992173</v>
      </c>
      <c r="F8">
        <f t="shared" si="0"/>
        <v>2608825877.7777781</v>
      </c>
      <c r="G8">
        <f t="shared" si="1"/>
        <v>8081708.255886524</v>
      </c>
      <c r="I8" t="s">
        <v>47</v>
      </c>
    </row>
    <row r="9" spans="1:9" x14ac:dyDescent="0.45">
      <c r="A9">
        <v>120000</v>
      </c>
      <c r="B9">
        <v>84.9</v>
      </c>
      <c r="C9">
        <v>7</v>
      </c>
      <c r="D9">
        <v>26</v>
      </c>
      <c r="E9">
        <v>85273.972957375416</v>
      </c>
      <c r="F9">
        <f t="shared" si="0"/>
        <v>2393492544.4444442</v>
      </c>
      <c r="G9">
        <f t="shared" si="1"/>
        <v>1205896954.1650939</v>
      </c>
      <c r="I9">
        <f>1-I7/I5</f>
        <v>0.8981329389609185</v>
      </c>
    </row>
    <row r="10" spans="1:9" x14ac:dyDescent="0.45">
      <c r="A10">
        <v>84500</v>
      </c>
      <c r="B10">
        <v>84.67</v>
      </c>
      <c r="C10">
        <v>12</v>
      </c>
      <c r="D10">
        <v>15</v>
      </c>
      <c r="E10">
        <v>97501.059189382009</v>
      </c>
      <c r="F10">
        <f t="shared" si="0"/>
        <v>180185877.77777764</v>
      </c>
      <c r="G10">
        <f t="shared" si="1"/>
        <v>169027540.04581439</v>
      </c>
    </row>
    <row r="11" spans="1:9" x14ac:dyDescent="0.45">
      <c r="A11">
        <v>67700</v>
      </c>
      <c r="B11">
        <v>54.7</v>
      </c>
      <c r="C11">
        <v>3</v>
      </c>
      <c r="D11">
        <v>28</v>
      </c>
      <c r="E11">
        <v>45516.780423799923</v>
      </c>
      <c r="F11">
        <f t="shared" si="0"/>
        <v>11401877.77777781</v>
      </c>
      <c r="G11">
        <f t="shared" si="1"/>
        <v>492095230.76590633</v>
      </c>
    </row>
    <row r="12" spans="1:9" x14ac:dyDescent="0.45">
      <c r="A12">
        <v>127500</v>
      </c>
      <c r="B12">
        <v>111.73</v>
      </c>
      <c r="C12">
        <v>17</v>
      </c>
      <c r="D12">
        <v>17</v>
      </c>
      <c r="E12">
        <v>129055.9225629768</v>
      </c>
      <c r="F12">
        <f t="shared" si="0"/>
        <v>3183592544.4444437</v>
      </c>
      <c r="G12">
        <f t="shared" si="1"/>
        <v>2420895.0219803075</v>
      </c>
    </row>
    <row r="13" spans="1:9" x14ac:dyDescent="0.45">
      <c r="A13">
        <v>11600</v>
      </c>
      <c r="B13">
        <v>15</v>
      </c>
      <c r="C13">
        <v>7</v>
      </c>
      <c r="D13">
        <v>9</v>
      </c>
      <c r="E13">
        <v>17808.245477281445</v>
      </c>
      <c r="F13">
        <f t="shared" si="0"/>
        <v>3537473877.7777781</v>
      </c>
      <c r="G13">
        <f t="shared" si="1"/>
        <v>38542311.906185523</v>
      </c>
    </row>
    <row r="14" spans="1:9" x14ac:dyDescent="0.45">
      <c r="A14">
        <v>13000</v>
      </c>
      <c r="B14">
        <v>17.811</v>
      </c>
      <c r="C14">
        <v>5</v>
      </c>
      <c r="D14">
        <v>8</v>
      </c>
      <c r="E14">
        <v>22221.129451081521</v>
      </c>
      <c r="F14">
        <f t="shared" si="0"/>
        <v>3372899211.1111116</v>
      </c>
      <c r="G14">
        <f t="shared" si="1"/>
        <v>85029228.353602991</v>
      </c>
    </row>
    <row r="15" spans="1:9" x14ac:dyDescent="0.45">
      <c r="A15">
        <v>12500</v>
      </c>
      <c r="B15">
        <v>17.811</v>
      </c>
      <c r="C15">
        <v>6</v>
      </c>
      <c r="D15">
        <v>8</v>
      </c>
      <c r="E15">
        <v>22298.914900580909</v>
      </c>
      <c r="F15">
        <f t="shared" si="0"/>
        <v>3431225877.7777781</v>
      </c>
      <c r="G15">
        <f t="shared" si="1"/>
        <v>96018733.228826553</v>
      </c>
    </row>
    <row r="16" spans="1:9" x14ac:dyDescent="0.45">
      <c r="A16">
        <v>12650</v>
      </c>
      <c r="B16">
        <v>17.811</v>
      </c>
      <c r="C16">
        <v>7</v>
      </c>
      <c r="D16">
        <v>8</v>
      </c>
      <c r="E16">
        <v>22376.700350080297</v>
      </c>
      <c r="F16">
        <f t="shared" si="0"/>
        <v>3413675377.7777781</v>
      </c>
      <c r="G16">
        <f t="shared" si="1"/>
        <v>94608699.70025216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통계함수</vt:lpstr>
      <vt:lpstr>회귀분석결과</vt:lpstr>
      <vt:lpstr>회귀분석</vt:lpstr>
      <vt:lpstr>회귀분석결정계수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DaeKyeong</dc:creator>
  <cp:lastModifiedBy>대경 김</cp:lastModifiedBy>
  <dcterms:created xsi:type="dcterms:W3CDTF">2024-07-12T02:56:22Z</dcterms:created>
  <dcterms:modified xsi:type="dcterms:W3CDTF">2024-08-24T07:38:37Z</dcterms:modified>
</cp:coreProperties>
</file>